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f15a92f1a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ort - hireability first" sheetId="1" r:id="R54206a22b7eb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F3F9FC"/>
      <x:name val="Carlito"/>
    </x:font>
    <x:font>
      <x:b/>
      <x:sz val="11"/>
      <x:color rgb="FF875600"/>
      <x:name val="Carlito"/>
    </x:font>
    <x:font>
      <x:b/>
      <x:sz val="11"/>
      <x:color rgb="FF183C52"/>
      <x:name val="Carlito"/>
    </x:font>
    <x:font>
      <x:sz val="10"/>
      <x:color rgb="FF31566C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b/>
      <x:sz val="13"/>
      <x:color rgb="FF133F5C"/>
      <x:name val="Carlito"/>
    </x:font>
    <x:font>
      <x:b/>
      <x:sz val="12"/>
      <x:color rgb="FF11445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52C3B"/>
      </x:patternFill>
    </x:fill>
    <x:fill>
      <x:patternFill patternType="solid">
        <x:fgColor rgb="FF145F6C"/>
      </x:patternFill>
    </x:fill>
    <x:fill>
      <x:patternFill patternType="solid">
        <x:fgColor rgb="FFFEF0C7"/>
      </x:patternFill>
    </x:fill>
    <x:fill>
      <x:patternFill patternType="solid">
        <x:fgColor rgb="FFE7F1F8"/>
      </x:patternFill>
    </x:fill>
    <x:fill>
      <x:patternFill patternType="solid">
        <x:fgColor rgb="FFEDF4F6"/>
      </x:patternFill>
    </x:fill>
    <x:fill>
      <x:patternFill patternType="solid">
        <x:fgColor rgb="FF155966"/>
      </x:patternFill>
    </x:fill>
    <x:fill>
      <x:patternFill patternType="solid">
        <x:fgColor rgb="FFDCEBF9"/>
      </x:patternFill>
    </x:fill>
    <x:fill>
      <x:patternFill patternType="solid">
        <x:fgColor rgb="FFDAEEE7"/>
      </x:patternFill>
    </x:fill>
    <x:fill>
      <x:patternFill patternType="solid">
        <x:fgColor rgb="FFD9E9F0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/>
    <x:xf numFmtId="0" fontId="8" fillId="8" borderId="0" xfId="0" applyNumberFormat="1" applyFont="1" applyFill="1" applyBorder="1"/>
    <x:xf numFmtId="0" fontId="4" fillId="8" borderId="1" xfId="0" applyNumberFormat="1" applyFont="1" applyFill="1" applyBorder="1"/>
    <x:xf numFmtId="0" fontId="8" fillId="8" borderId="1" xfId="0" applyNumberFormat="1" applyFont="1" applyFill="1" applyBorder="1"/>
    <x:xf numFmtId="0" fontId="4" fillId="9" borderId="0" xfId="0" applyNumberFormat="1" applyFont="1" applyFill="1" applyBorder="1"/>
    <x:xf numFmtId="0" fontId="8" fillId="9" borderId="0" xfId="0" applyNumberFormat="1" applyFont="1" applyFill="1" applyBorder="1"/>
    <x:xf numFmtId="0" fontId="4" fillId="9" borderId="1" xfId="0" applyNumberFormat="1" applyFont="1" applyFill="1" applyBorder="1"/>
    <x:xf numFmtId="0" fontId="8" fillId="9" borderId="1" xfId="0" applyNumberFormat="1" applyFont="1" applyFill="1" applyBorder="1"/>
    <x:xf numFmtId="0" fontId="4" fillId="10" borderId="0" xfId="0" applyNumberFormat="1" applyFont="1" applyFill="1" applyBorder="1"/>
    <x:xf numFmtId="0" fontId="9" fillId="10" borderId="0" xfId="0" applyNumberFormat="1" applyFont="1" applyFill="1" applyBorder="1"/>
    <x:xf numFmtId="0" fontId="4" fillId="10" borderId="1" xfId="0" applyNumberFormat="1" applyFont="1" applyFill="1" applyBorder="1"/>
    <x:xf numFmtId="0" fontId="9" fillId="10" borderId="1" xfId="0" applyNumberFormat="1" applyFont="1" applyFill="1" applyBorder="1"/>
  </x:cellXfs>
  <x:cellStyles count="1">
    <x:cellStyle name="Normal" xfId="0"/>
  </x:cellStyles>
  <x:dxfs count="8">
    <x:dxf>
      <x:fill>
        <x:patternFill>
          <x:bgColor rgb="FFC5F6DD"/>
        </x:patternFill>
      </x:fill>
    </x:dxf>
    <x:dxf>
      <x:fill>
        <x:patternFill>
          <x:bgColor rgb="FFD7ECF9"/>
        </x:patternFill>
      </x:fill>
    </x:dxf>
    <x:dxf>
      <x:fill>
        <x:patternFill>
          <x:bgColor rgb="FFFFE6C0"/>
        </x:patternFill>
      </x:fill>
    </x:dxf>
    <x:dxf>
      <x:fill>
        <x:patternFill>
          <x:bgColor rgb="FFFFEED5"/>
        </x:patternFill>
      </x:fill>
    </x:dxf>
    <x:dxf>
      <x:fill>
        <x:patternFill>
          <x:bgColor rgb="FFEDE5FC"/>
        </x:patternFill>
      </x:fill>
    </x:dxf>
    <x:dxf>
      <x:fill>
        <x:patternFill>
          <x:bgColor rgb="FFE9EDF2"/>
        </x:patternFill>
      </x:fill>
    </x:dxf>
    <x:dxf>
      <x:fill>
        <x:patternFill>
          <x:bgColor rgb="FFECF0F2"/>
        </x:patternFill>
      </x:fill>
    </x:dxf>
    <x:dxf>
      <x:fill>
        <x:patternFill>
          <x:bgColor rgb="FFF9D8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1c8c43a624079" /><Relationship Type="http://schemas.openxmlformats.org/officeDocument/2006/relationships/theme" Target="/xl/theme/theme1.xml" Id="Ra2ef705b639f4081" /><Relationship Type="http://schemas.openxmlformats.org/officeDocument/2006/relationships/sharedStrings" Target="/xl/sharedStrings.xml" Id="R020e5922c3e04a15" /><Relationship Type="http://schemas.openxmlformats.org/officeDocument/2006/relationships/worksheet" Target="/xl/worksheets/sheet1.xml" Id="R54206a22b7eb4fcd" /></Relationships>
</file>

<file path=xl/tables/table1.xml><?xml version="1.0" encoding="utf-8"?>
<x:table xmlns:x="http://schemas.openxmlformats.org/spreadsheetml/2006/main" id="1" name="TunisiaSupportHireability" displayName="TunisiaSupportHireability" ref="A10:AH53" headerRowCount="1" totalsRowCount="0" totalsRowShown="0">
  <x:tableColumns count="34">
    <x:tableColumn id="1" name="Rank"/>
    <x:tableColumn id="2" name="PRIORITY"/>
    <x:tableColumn id="3" name="Apply action"/>
    <x:tableColumn id="4" name="Employer"/>
    <x:tableColumn id="5" name="Role / vacancy"/>
    <x:tableColumn id="6" name="Role category"/>
    <x:tableColumn id="7" name="Readiness 1–5"/>
    <x:tableColumn id="8" name="Offer acceptance likelihood"/>
    <x:tableColumn id="9" name="Remote country / geography"/>
    <x:tableColumn id="10" name="Tunisia eligibility"/>
    <x:tableColumn id="11" name="Listing / source status"/>
    <x:tableColumn id="12" name="Languages demanded"/>
    <x:tableColumn id="13" name="French B2 fit?"/>
    <x:tableColumn id="14" name="Experience required"/>
    <x:tableColumn id="15" name="Short description / daily duties"/>
    <x:tableColumn id="16" name="Other required skills / setup"/>
    <x:tableColumn id="17" name="Why you fit"/>
    <x:tableColumn id="18" name="Main hiring obstacle"/>
    <x:tableColumn id="19" name="Contract / pay type"/>
    <x:tableColumn id="20" name="Working time / shifts"/>
    <x:tableColumn id="21" name="Disclosed salary / exact caveat"/>
    <x:tableColumn id="22" name="Pay evidence / trust level"/>
    <x:tableColumn id="23" name="NET target (TND / month)"/>
    <x:tableColumn id="24" name="Net improvement vs current"/>
    <x:tableColumn id="25" name="Confidence in opening"/>
    <x:tableColumn id="26" name="PRIMARY URL"/>
    <x:tableColumn id="27" name="SECONDARY SOURCE URL"/>
    <x:tableColumn id="28" name="Next action"/>
    <x:tableColumn id="29" name="Application status"/>
    <x:tableColumn id="30" name="Date applied"/>
    <x:tableColumn id="31" name="Next follow-up"/>
    <x:tableColumn id="32" name="Last checked"/>
    <x:tableColumn id="33" name="Notes / warnings"/>
    <x:tableColumn id="34" name="Company / role group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125f9e1e524a9b" /></Relationships>
</file>

<file path=xl/worksheets/sheet1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RowHeight="15"/>
  <x:cols>
    <x:col min="1" max="1" width="7" hidden="0" customWidth="1"/>
    <x:col min="2" max="2" width="15" hidden="0" customWidth="1"/>
    <x:col min="3" max="3" width="26" hidden="0" customWidth="1"/>
    <x:col min="4" max="4" width="24" hidden="0" customWidth="1"/>
    <x:col min="5" max="5" width="51" hidden="0" customWidth="1"/>
    <x:col min="6" max="6" width="27" hidden="0" customWidth="1"/>
    <x:col min="7" max="7" width="15" hidden="0" customWidth="1"/>
    <x:col min="8" max="8" width="32" hidden="0" customWidth="1"/>
    <x:col min="9" max="9" width="42" hidden="0" customWidth="1"/>
    <x:col min="10" max="10" width="43" hidden="0" customWidth="1"/>
    <x:col min="11" max="11" width="39" hidden="0" customWidth="1"/>
    <x:col min="12" max="12" width="36" hidden="0" customWidth="1"/>
    <x:col min="13" max="13" width="29" hidden="0" customWidth="1"/>
    <x:col min="14" max="14" width="19" hidden="0" customWidth="1"/>
    <x:col min="15" max="15" width="51" hidden="0" customWidth="1"/>
    <x:col min="16" max="16" width="52" hidden="0" customWidth="1"/>
    <x:col min="17" max="17" width="46" hidden="0" customWidth="1"/>
    <x:col min="18" max="18" width="49" hidden="0" customWidth="1"/>
    <x:col min="19" max="19" width="22" hidden="0" customWidth="1"/>
    <x:col min="20" max="20" width="36" hidden="0" customWidth="1"/>
    <x:col min="21" max="21" width="54" hidden="0" customWidth="1"/>
    <x:col min="22" max="22" width="44" hidden="0" customWidth="1"/>
    <x:col min="23" max="23" width="20" hidden="0" customWidth="1"/>
    <x:col min="24" max="24" width="16" hidden="0" customWidth="1"/>
    <x:col min="25" max="25" width="33" hidden="0" customWidth="1"/>
    <x:col min="26" max="26" width="64" hidden="0" customWidth="1"/>
    <x:col min="27" max="27" width="60" hidden="0" customWidth="1"/>
    <x:col min="28" max="28" width="59" hidden="0" customWidth="1"/>
    <x:col min="29" max="29" width="22" hidden="0" customWidth="1"/>
    <x:col min="30" max="30" width="18" hidden="0" customWidth="1"/>
    <x:col min="31" max="31" width="18" hidden="0" customWidth="1"/>
    <x:col min="32" max="32" width="17" hidden="0" customWidth="1"/>
    <x:col min="33" max="33" width="54" hidden="0" customWidth="1"/>
    <x:col min="34" max="34" width="22" hidden="0" customWidth="1"/>
  </x:cols>
  <x:sheetData>
    <x:row r="1" ht="40" customHeight="1">
      <x:c r="A1" s="6" t="str">
        <x:v>REMOTE CUSTOMER SUPPORT — HIREABILITY FIRST | TUNISIA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</x:row>
    <x:row r="2" ht="26" customHeight="1">
      <x:c r="A2" s="11" t="str">
        <x:v>Updated 20 October 2026  |  English C1  •  French B2  •  Arabic roles acceptable  |  Single-sheet application and lead tracker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</x:row>
    <x:row r="3" ht="29" customHeight="1">
      <x:c r="A3" s="15" t="str">
        <x:v>NO HONEST OFFER PROBABILITY % IS AVAILABLE: readiness 1–5 = subjective match to stated criteria, NOT odds of an interview or job offer.</x:v>
      </x:c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  <x:c r="AE3" s="15"/>
      <x:c r="AF3" s="15"/>
      <x:c r="AG3" s="15"/>
      <x:c r="AH3" s="15"/>
    </x:row>
    <x:row r="5" ht="31" customHeight="1">
      <x:c r="A5" s="19" t="str">
        <x:v>Current NET salary TND</x:v>
      </x:c>
      <x:c r="B5" s="45" t="n">
        <x:v>1550</x:v>
      </x:c>
      <x:c r="C5" s="19"/>
      <x:c r="D5" s="19" t="str">
        <x:v>Target NET TND / month</x:v>
      </x:c>
      <x:c r="E5" s="49" t="n">
        <x:v>2600</x:v>
      </x:c>
      <x:c r="F5" s="19"/>
      <x:c r="G5" s="19" t="str">
        <x:v>Apply (A)</x:v>
      </x:c>
      <x:c r="H5" s="53" t="n">
        <x:f>COUNTIF(B11:B53,"A APPLY")</x:f>
        <x:v>3</x:v>
      </x:c>
      <x:c r="I5" s="19"/>
      <x:c r="J5" s="19" t="str">
        <x:v>Targeted (B)</x:v>
      </x:c>
      <x:c r="K5" s="53" t="n">
        <x:f>COUNTIF(B11:B53,"B TARGET")</x:f>
        <x:v>6</x:v>
      </x:c>
      <x:c r="L5" s="19"/>
      <x:c r="M5" s="19" t="str">
        <x:v>Conditional (C/D)</x:v>
      </x:c>
      <x:c r="N5" s="53" t="n">
        <x:f>COUNTIF(B11:B53,"C*")+COUNTIF(B11:B53,"D VERIFY")</x:f>
        <x:v>7</x:v>
      </x:c>
      <x:c r="O5" s="19"/>
      <x:c r="P5" s="19" t="str">
        <x:v>Closed / watch / skip</x:v>
      </x:c>
      <x:c r="Q5" s="53" t="n">
        <x:f>COUNTIF(B11:B53,"W*")+COUNTIF(B11:B53,"E SKIP")</x:f>
        <x:v>8</x:v>
      </x:c>
    </x:row>
    <x:row r="7" ht="25" customHeight="1">
      <x:c r="A7" s="23" t="str">
        <x:v>A = employer posting with broad/explicit regional eligibility and accessible skills | B = apply after 1–2 key checks | C = language/skill gap | D = verify first | W = closed/watch | E = do not apply</x:v>
      </x:c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</x:row>
    <x:row r="8" ht="25" customHeight="1">
      <x:c r="A8" s="23" t="str">
        <x:v>Salary: Employer disclosures labelled exactly; aggregator estimates are NOT offers. Target net pay is your PERSONAL negotiation goal, not a salary forecast. No acceptance-percent claims.</x:v>
      </x:c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</x:row>
    <x:row r="10" ht="42" customHeight="1">
      <x:c r="A10" s="29" t="str">
        <x:v>Rank</x:v>
      </x:c>
      <x:c r="B10" s="29" t="str">
        <x:v>PRIORITY</x:v>
      </x:c>
      <x:c r="C10" s="29" t="str">
        <x:v>Apply action</x:v>
      </x:c>
      <x:c r="D10" s="29" t="str">
        <x:v>Employer</x:v>
      </x:c>
      <x:c r="E10" s="29" t="str">
        <x:v>Role / vacancy</x:v>
      </x:c>
      <x:c r="F10" s="29" t="str">
        <x:v>Role category</x:v>
      </x:c>
      <x:c r="G10" s="29" t="str">
        <x:v>Readiness 1–5</x:v>
      </x:c>
      <x:c r="H10" s="29" t="str">
        <x:v>Offer acceptance likelihood</x:v>
      </x:c>
      <x:c r="I10" s="29" t="str">
        <x:v>Remote country / geography</x:v>
      </x:c>
      <x:c r="J10" s="29" t="str">
        <x:v>Tunisia eligibility</x:v>
      </x:c>
      <x:c r="K10" s="29" t="str">
        <x:v>Listing / source status</x:v>
      </x:c>
      <x:c r="L10" s="29" t="str">
        <x:v>Languages demanded</x:v>
      </x:c>
      <x:c r="M10" s="29" t="str">
        <x:v>French B2 fit?</x:v>
      </x:c>
      <x:c r="N10" s="29" t="str">
        <x:v>Experience required</x:v>
      </x:c>
      <x:c r="O10" s="29" t="str">
        <x:v>Short description / daily duties</x:v>
      </x:c>
      <x:c r="P10" s="29" t="str">
        <x:v>Other required skills / setup</x:v>
      </x:c>
      <x:c r="Q10" s="29" t="str">
        <x:v>Why you fit</x:v>
      </x:c>
      <x:c r="R10" s="29" t="str">
        <x:v>Main hiring obstacle</x:v>
      </x:c>
      <x:c r="S10" s="29" t="str">
        <x:v>Contract / pay type</x:v>
      </x:c>
      <x:c r="T10" s="29" t="str">
        <x:v>Working time / shifts</x:v>
      </x:c>
      <x:c r="U10" s="29" t="str">
        <x:v>Disclosed salary / exact caveat</x:v>
      </x:c>
      <x:c r="V10" s="29" t="str">
        <x:v>Pay evidence / trust level</x:v>
      </x:c>
      <x:c r="W10" s="29" t="str">
        <x:v>NET target (TND / month)</x:v>
      </x:c>
      <x:c r="X10" s="29" t="str">
        <x:v>Net improvement vs current</x:v>
      </x:c>
      <x:c r="Y10" s="29" t="str">
        <x:v>Confidence in opening</x:v>
      </x:c>
      <x:c r="Z10" s="29" t="str">
        <x:v>PRIMARY URL</x:v>
      </x:c>
      <x:c r="AA10" s="29" t="str">
        <x:v>SECONDARY SOURCE URL</x:v>
      </x:c>
      <x:c r="AB10" s="29" t="str">
        <x:v>Next action</x:v>
      </x:c>
      <x:c r="AC10" s="29" t="str">
        <x:v>Application status</x:v>
      </x:c>
      <x:c r="AD10" s="29" t="str">
        <x:v>Date applied</x:v>
      </x:c>
      <x:c r="AE10" s="29" t="str">
        <x:v>Next follow-up</x:v>
      </x:c>
      <x:c r="AF10" s="29" t="str">
        <x:v>Last checked</x:v>
      </x:c>
      <x:c r="AG10" s="29" t="str">
        <x:v>Notes / warnings</x:v>
      </x:c>
      <x:c r="AH10" s="29" t="str">
        <x:v>Role grouping</x:v>
      </x:c>
    </x:row>
    <x:row r="11" ht="62" customHeight="1">
      <x:c r="A11" s="42" t="n">
        <x:v>1</x:v>
      </x:c>
      <x:c r="B11" s="42" t="str">
        <x:v>A APPLY</x:v>
      </x:c>
      <x:c r="C11" s="38" t="str">
        <x:v>APPLY now</x:v>
      </x:c>
      <x:c r="D11" s="38" t="str">
        <x:v>Clipboard</x:v>
      </x:c>
      <x:c r="E11" s="38" t="str">
        <x:v>Customer Experience Specialist — Worker Operations</x:v>
      </x:c>
      <x:c r="F11" s="38" t="str">
        <x:v>English customer operations; chat / voice</x:v>
      </x:c>
      <x:c r="G11" s="38" t="n">
        <x:v>4</x:v>
      </x:c>
      <x:c r="H11" s="38" t="str">
        <x:v>Cannot verify: no employer data on acceptance rates</x:v>
      </x:c>
      <x:c r="I11" s="38" t="str">
        <x:v>Remote Africa, Central/South America, Caribbean</x:v>
      </x:c>
      <x:c r="J11" s="38" t="str">
        <x:v>AFRICA REMOTE; Tunisia falls within stated region, confirm legal onboarding</x:v>
      </x:c>
      <x:c r="K11" s="38" t="str">
        <x:v>LIVE | official employer application</x:v>
      </x:c>
      <x:c r="L11" s="38" t="str">
        <x:v>Fluent professional English</x:v>
      </x:c>
      <x:c r="M11" s="38" t="str">
        <x:v>No French threshold stated</x:v>
      </x:c>
      <x:c r="N11" s="38" t="str">
        <x:v>Not specified</x:v>
      </x:c>
      <x:c r="O11" s="38" t="str">
        <x:v>Support workers with shifts, onboarding, payments and app issues; chat, voice and email.</x:v>
      </x:c>
      <x:c r="P11" s="38" t="str">
        <x:v>Clear English, empathy, speed, documentation, independent problem-solving; customer service mindset.</x:v>
      </x:c>
      <x:c r="Q11" s="38" t="str">
        <x:v>C1 English, past support, technical troubleshooting, written documentation.</x:v>
      </x:c>
      <x:c r="R11" s="38" t="str">
        <x:v>24/7 operation; both Saturday and Sunday availability; case study and role-play stages.</x:v>
      </x:c>
      <x:c r="S11" s="38" t="str">
        <x:v>Full-time</x:v>
      </x:c>
      <x:c r="T11" s="38" t="str">
        <x:v>Five days / seven, both Sat and Sun availability; shift assigned</x:v>
      </x:c>
      <x:c r="U11" s="38" t="str">
        <x:v>USD 11,400–16,800/year (chat); USD 13,200–20,400/year (voice)</x:v>
      </x:c>
      <x:c r="V11" s="38" t="str">
        <x:v>EMPLOYER-DISCLOSED ANNUAL RANGES; offer varies by geography and qualifications, NOT Tunisia-specific net pay</x:v>
      </x:c>
      <x:c r="W11" s="38" t="n">
        <x:v>2600</x:v>
      </x:c>
      <x:c r="X11" s="39" t="n">
        <x:f>IF(W11="","",(W11-$B$5)/$B$5)</x:f>
        <x:v>0.6774193548387096</x:v>
      </x:c>
      <x:c r="Y11" s="38" t="str">
        <x:v>Official employer posting</x:v>
      </x:c>
      <x:c r="Z11" s="38" t="str">
        <x:v>https://jobs.ashbyhq.com/clipboard/8f01008d-a05a-4fcc-873d-83175e2c70ba/</x:v>
      </x:c>
      <x:c r="AA11" s="38" t="str"/>
      <x:c r="AB11" s="38" t="str">
        <x:v>Apply for chat or voice track. Prepare role plays and written response cases.</x:v>
      </x:c>
      <x:c r="AC11" s="38" t="str">
        <x:v>Not applied</x:v>
      </x:c>
      <x:c r="AD11" s="38"/>
      <x:c r="AE11" s="38"/>
      <x:c r="AF11" s="38" t="str">
        <x:v>2026-10-20</x:v>
      </x:c>
      <x:c r="AG11" s="38" t="str">
        <x:v>Rates are USD/year, not monthly. Chat approx USD 950–1400 gross/month; voice USD 1100–1700 gross/month (annual/12).</x:v>
      </x:c>
      <x:c r="AH11" s="38" t="str">
        <x:v>Apply / verify</x:v>
      </x:c>
    </x:row>
    <x:row r="12" ht="62" customHeight="1">
      <x:c r="A12" s="42" t="n">
        <x:v>2</x:v>
      </x:c>
      <x:c r="B12" s="42" t="str">
        <x:v>A APPLY</x:v>
      </x:c>
      <x:c r="C12" s="38" t="str">
        <x:v>APPLY now</x:v>
      </x:c>
      <x:c r="D12" s="38" t="str">
        <x:v>Quadcode</x:v>
      </x:c>
      <x:c r="E12" s="38" t="str">
        <x:v>Customer Support Operator (Arabic and English)</x:v>
      </x:c>
      <x:c r="F12" s="38" t="str">
        <x:v>Fintech live chat &amp; email</x:v>
      </x:c>
      <x:c r="G12" s="38" t="n">
        <x:v>4</x:v>
      </x:c>
      <x:c r="H12" s="38" t="str">
        <x:v>Cannot verify: no employer data on acceptance rates</x:v>
      </x:c>
      <x:c r="I12" s="38" t="str">
        <x:v>Morocco / Tunisia • remote</x:v>
      </x:c>
      <x:c r="J12" s="38" t="str">
        <x:v>TUNISIA EXPLICITLY ACCEPTED</x:v>
      </x:c>
      <x:c r="K12" s="38" t="str">
        <x:v>LIVE | official employer application</x:v>
      </x:c>
      <x:c r="L12" s="38" t="str">
        <x:v>Arabic + English + fluent French (no CEFR stated)</x:v>
      </x:c>
      <x:c r="M12" s="38" t="str">
        <x:v>B2 may be assessed / confirm</x:v>
      </x:c>
      <x:c r="N12" s="38" t="str">
        <x:v>Not specified</x:v>
      </x:c>
      <x:c r="O12" s="38" t="str">
        <x:v>Handle fintech product questions and cases via live chat and email; no phone calls.</x:v>
      </x:c>
      <x:c r="P12" s="38" t="str">
        <x:v>Customer communication, fast accurate responses, quality and productivity targets.</x:v>
      </x:c>
      <x:c r="Q12" s="38" t="str">
        <x:v>C1 English, B2 French, Arabic if fluent, prior support and technical troubleshooting.</x:v>
      </x:c>
      <x:c r="R12" s="38" t="str">
        <x:v>French fluency assessed; Arabic fluency should be confirmed; KPI pressure.</x:v>
      </x:c>
      <x:c r="S12" s="38" t="str">
        <x:v>Full-time</x:v>
      </x:c>
      <x:c r="T12" s="38" t="str">
        <x:v>Mon–Fri 08:00–16:30 GMT+3 (06:00–14:30 Tunisia UTC+1)</x:v>
      </x:c>
      <x:c r="U12" s="38" t="str">
        <x:v>NOT DISCLOSED</x:v>
      </x:c>
      <x:c r="V12" s="38" t="str">
        <x:v>No figure stated by employer</x:v>
      </x:c>
      <x:c r="W12" s="38" t="n">
        <x:v>2600</x:v>
      </x:c>
      <x:c r="X12" s="39" t="n">
        <x:f>IF(W12="","",(W12-$B$5)/$B$5)</x:f>
        <x:v>0.6774193548387096</x:v>
      </x:c>
      <x:c r="Y12" s="38" t="str">
        <x:v>Official employer posting</x:v>
      </x:c>
      <x:c r="Z12" s="38" t="str">
        <x:v>https://jobs.eu.lever.co/quadcode/8ae3e5bb-349b-4dad-8fae-187320934f66</x:v>
      </x:c>
      <x:c r="AA12" s="38" t="str">
        <x:v>https://jobs.remote.com/jobs/quadcode-c16xmzfi/customer-support-operator-with-arabic-and-english-j1rtou82</x:v>
      </x:c>
      <x:c r="AB12" s="38" t="str">
        <x:v>Apply using an English CV emphasizing live support, written communication and fintech curiosity.</x:v>
      </x:c>
      <x:c r="AC12" s="38" t="str">
        <x:v>Not applied</x:v>
      </x:c>
      <x:c r="AD12" s="38"/>
      <x:c r="AE12" s="38"/>
      <x:c r="AF12" s="38" t="str">
        <x:v>2026-10-20</x:v>
      </x:c>
      <x:c r="AG12" s="38" t="str">
        <x:v>Employer describes remuneration as competitive, but gives no actual amount. No calls. Arabic fluency not independently assessed.</x:v>
      </x:c>
      <x:c r="AH12" s="38" t="str">
        <x:v>Apply / verify</x:v>
      </x:c>
    </x:row>
    <x:row r="13" ht="62" customHeight="1">
      <x:c r="A13" s="42" t="n">
        <x:v>3</x:v>
      </x:c>
      <x:c r="B13" s="42" t="str">
        <x:v>A APPLY</x:v>
      </x:c>
      <x:c r="C13" s="38" t="str">
        <x:v>APPLY now</x:v>
      </x:c>
      <x:c r="D13" s="38" t="str">
        <x:v>The Flex</x:v>
      </x:c>
      <x:c r="E13" s="38" t="str">
        <x:v>French-Speaking Customer Experience Specialist</x:v>
      </x:c>
      <x:c r="F13" s="38" t="str">
        <x:v>Hospitality and guest support</x:v>
      </x:c>
      <x:c r="G13" s="38" t="n">
        <x:v>4</x:v>
      </x:c>
      <x:c r="H13" s="38" t="str">
        <x:v>Cannot verify: no employer data on acceptance rates</x:v>
      </x:c>
      <x:c r="I13" s="38" t="str">
        <x:v>Tunis explicitly listed • remote</x:v>
      </x:c>
      <x:c r="J13" s="38" t="str">
        <x:v>TUNIS EXPLICITLY LISTED IN OFFICIAL POSTING</x:v>
      </x:c>
      <x:c r="K13" s="38" t="str">
        <x:v>LIVE | official employer application</x:v>
      </x:c>
      <x:c r="L13" s="38" t="str">
        <x:v>Fluent French + English (CEFR unspecified)</x:v>
      </x:c>
      <x:c r="M13" s="38" t="str">
        <x:v>B2 may be assessed / confirm</x:v>
      </x:c>
      <x:c r="N13" s="38" t="str">
        <x:v>Not specified</x:v>
      </x:c>
      <x:c r="O13" s="38" t="str">
        <x:v>Answer guest and landlord requests; bookings, check-in, issues, upsells via phone, email and chat.</x:v>
      </x:c>
      <x:c r="P13" s="38" t="str">
        <x:v>Customer-service experience, communication in French and English, CRM/PMS learning.</x:v>
      </x:c>
      <x:c r="Q13" s="38" t="str">
        <x:v>C1 English, B2 French, support experience, comfort with digital tools.</x:v>
      </x:c>
      <x:c r="R13" s="38" t="str">
        <x:v>French verbal fluency may be tested; hospitality scenarios and occasional sales.</x:v>
      </x:c>
      <x:c r="S13" s="38" t="str">
        <x:v>Full-time</x:v>
      </x:c>
      <x:c r="T13" s="38" t="str">
        <x:v>Not disclosed</x:v>
      </x:c>
      <x:c r="U13" s="38" t="str">
        <x:v>Competitive compensation + performance incentives; amount NOT DISCLOSED</x:v>
      </x:c>
      <x:c r="V13" s="38" t="str">
        <x:v>Official employer describes compensation qualitatively only</x:v>
      </x:c>
      <x:c r="W13" s="38" t="n">
        <x:v>2600</x:v>
      </x:c>
      <x:c r="X13" s="39" t="n">
        <x:f>IF(W13="","",(W13-$B$5)/$B$5)</x:f>
        <x:v>0.6774193548387096</x:v>
      </x:c>
      <x:c r="Y13" s="38" t="str">
        <x:v>Official employer posting</x:v>
      </x:c>
      <x:c r="Z13" s="38" t="str">
        <x:v>https://jobs.ashbyhq.com/the-flex/94afb895-95c7-4ca9-8aec-3f76a9b7ed48</x:v>
      </x:c>
      <x:c r="AA13" s="38" t="str">
        <x:v>https://jobs.ashbyhq.com/the-flex/94afb895-95c7-4ca9-8aec-3f76a9b7ed48?locationid=4af3a94f-7552-49a8-9d13-06edda9538aa</x:v>
      </x:c>
      <x:c r="AB13" s="38" t="str">
        <x:v>Apply with bilingual CV and examples of de-escalation; be candid about French B2.</x:v>
      </x:c>
      <x:c r="AC13" s="38" t="str">
        <x:v>Not applied</x:v>
      </x:c>
      <x:c r="AD13" s="38"/>
      <x:c r="AE13" s="38"/>
      <x:c r="AF13" s="38" t="str">
        <x:v>2026-10-20</x:v>
      </x:c>
      <x:c r="AG13" s="38" t="str"/>
      <x:c r="AH13" s="38" t="str">
        <x:v>Apply / verify</x:v>
      </x:c>
    </x:row>
    <x:row r="14" ht="62" customHeight="1">
      <x:c r="A14" s="42" t="n">
        <x:v>4</x:v>
      </x:c>
      <x:c r="B14" s="42" t="str">
        <x:v>B TARGET</x:v>
      </x:c>
      <x:c r="C14" s="38" t="str">
        <x:v>Apply after brief checks</x:v>
      </x:c>
      <x:c r="D14" s="38" t="str">
        <x:v>HostPapa / Managed.com</x:v>
      </x:c>
      <x:c r="E14" s="38" t="str">
        <x:v>Web Hosting Customer Experience Specialist — French and English</x:v>
      </x:c>
      <x:c r="F14" s="38" t="str">
        <x:v>Technical customer support; hosting</x:v>
      </x:c>
      <x:c r="G14" s="38" t="n">
        <x:v>4</x:v>
      </x:c>
      <x:c r="H14" s="38" t="str">
        <x:v>Cannot verify: no employer data on acceptance rates</x:v>
      </x:c>
      <x:c r="I14" s="38" t="str">
        <x:v>Remote global team; LinkedIn lists Tunis</x:v>
      </x:c>
      <x:c r="J14" s="38" t="str">
        <x:v>TUNIS IN LINKEDIN AND BUILT IN LISTINGS; employer page says remote; confirm in recruiter offer</x:v>
      </x:c>
      <x:c r="K14" s="38" t="str">
        <x:v>LIVE | official employer application</x:v>
      </x:c>
      <x:c r="L14" s="38" t="str">
        <x:v>English + French strong written/oral; no explicit CEFR level</x:v>
      </x:c>
      <x:c r="M14" s="38" t="str">
        <x:v>B2 may be assessed / confirm</x:v>
      </x:c>
      <x:c r="N14" s="38" t="str">
        <x:v>Not specified</x:v>
      </x:c>
      <x:c r="O14" s="38" t="str">
        <x:v>Phone, email and chat support for website, email, DNS and WordPress hosting issues.</x:v>
      </x:c>
      <x:c r="P14" s="38" t="str">
        <x:v>Helpdesk experience, DNS, website/email troubleshooting, French and English.</x:v>
      </x:c>
      <x:c r="Q14" s="38" t="str">
        <x:v>Prior support + Linux/networking debugging; French B2 potentially adequate.</x:v>
      </x:c>
      <x:c r="R14" s="38" t="str">
        <x:v>WordPress, DNS email/SPF, cPanel experience to demonstrate; Tunisian contracting should be confirmed.</x:v>
      </x:c>
      <x:c r="S14" s="38" t="str">
        <x:v>Full-time</x:v>
      </x:c>
      <x:c r="T14" s="38" t="str">
        <x:v>09:00–17:30 Eastern (Toronto) in official post; confirm shift/local conversion</x:v>
      </x:c>
      <x:c r="U14" s="38" t="str">
        <x:v>Competitive/location benchmarked; AMOUNT NOT DISCLOSED</x:v>
      </x:c>
      <x:c r="V14" s="38" t="str">
        <x:v>Official post says benchmarked to hiring markets; no figure</x:v>
      </x:c>
      <x:c r="W14" s="38" t="n">
        <x:v>2600</x:v>
      </x:c>
      <x:c r="X14" s="39" t="n">
        <x:f>IF(W14="","",(W14-$B$5)/$B$5)</x:f>
        <x:v>0.6774193548387096</x:v>
      </x:c>
      <x:c r="Y14" s="38" t="str">
        <x:v>Official employer posting</x:v>
      </x:c>
      <x:c r="Z14" s="38" t="str">
        <x:v>https://careers.hostpapa.com/apply/gVE8RisH4t/Web-Hosting-Customer-Experience-Specialist-French-And-English</x:v>
      </x:c>
      <x:c r="AA14" s="38" t="str">
        <x:v>https://tn.linkedin.com/jobs/view/web-hosting-customer-experience-specialist-french-and-english-at-hostpapa-4477859586</x:v>
      </x:c>
      <x:c r="AB14" s="38" t="str">
        <x:v>Apply. In 2 days, practice DNS records, IMAP/SMTP and WordPress recovery cases.</x:v>
      </x:c>
      <x:c r="AC14" s="38" t="str">
        <x:v>Not applied</x:v>
      </x:c>
      <x:c r="AD14" s="38"/>
      <x:c r="AE14" s="38"/>
      <x:c r="AF14" s="38" t="str">
        <x:v>2026-10-20</x:v>
      </x:c>
      <x:c r="AG14" s="38" t="str"/>
      <x:c r="AH14" s="38" t="str">
        <x:v>Apply / verify</x:v>
      </x:c>
    </x:row>
    <x:row r="15" ht="62" customHeight="1">
      <x:c r="A15" s="42" t="n">
        <x:v>5</x:v>
      </x:c>
      <x:c r="B15" s="42" t="str">
        <x:v>B TARGET</x:v>
      </x:c>
      <x:c r="C15" s="38" t="str">
        <x:v>Apply after brief checks</x:v>
      </x:c>
      <x:c r="D15" s="38" t="str">
        <x:v>SupportYourApp</x:v>
      </x:c>
      <x:c r="E15" s="38" t="str">
        <x:v>Customer Support Consultant (fluent English) — email-only</x:v>
      </x:c>
      <x:c r="F15" s="38" t="str">
        <x:v>English-first SaaS email support</x:v>
      </x:c>
      <x:c r="G15" s="38" t="n">
        <x:v>4</x:v>
      </x:c>
      <x:c r="H15" s="38" t="str">
        <x:v>Cannot verify: no employer data on acceptance rates</x:v>
      </x:c>
      <x:c r="I15" s="38" t="str">
        <x:v>LinkedIn job location Tunis • remote</x:v>
      </x:c>
      <x:c r="J15" s="38" t="str">
        <x:v>TUNIS ON RECRUITER LISTING; direct employer opening not confirmed</x:v>
      </x:c>
      <x:c r="K15" s="38" t="str">
        <x:v>RECENT | LinkedIn listing; official requisition not located</x:v>
      </x:c>
      <x:c r="L15" s="38" t="str">
        <x:v>English written C1 or higher</x:v>
      </x:c>
      <x:c r="M15" s="38" t="str">
        <x:v>No French threshold stated</x:v>
      </x:c>
      <x:c r="N15" s="38" t="str">
        <x:v>At least 1 year</x:v>
      </x:c>
      <x:c r="O15" s="38" t="str">
        <x:v>Provide email-based user support for SaaS/gaming; CRM, feedback and developer escalations.</x:v>
      </x:c>
      <x:c r="P15" s="38" t="str">
        <x:v>Written C1 English, 1+ year support, CRM, analytical reading, PC 8GB, internet 50↓/40↑ Mbps.</x:v>
      </x:c>
      <x:c r="Q15" s="38" t="str">
        <x:v>English C1; experience in customer-facing troubleshooting and technical communication.</x:v>
      </x:c>
      <x:c r="R15" s="38" t="str">
        <x:v>Direct Workable job URL not found; LinkedIn may close abruptly; network upload requirement is demanding.</x:v>
      </x:c>
      <x:c r="S15" s="38" t="str">
        <x:v>Contract</x:v>
      </x:c>
      <x:c r="T15" s="38" t="str">
        <x:v>Flexible hours</x:v>
      </x:c>
      <x:c r="U15" s="38" t="str">
        <x:v>Paid in USD; NUMBER NOT DISCLOSED</x:v>
      </x:c>
      <x:c r="V15" s="38" t="str">
        <x:v>LinkedIn description says USD compensation; no numeric employer salary</x:v>
      </x:c>
      <x:c r="W15" s="38" t="n">
        <x:v>2600</x:v>
      </x:c>
      <x:c r="X15" s="39" t="n">
        <x:f>IF(W15="","",(W15-$B$5)/$B$5)</x:f>
        <x:v>0.6774193548387096</x:v>
      </x:c>
      <x:c r="Y15" s="38" t="str">
        <x:v>Recent company-branded LinkedIn listing; official job URL not recovered</x:v>
      </x:c>
      <x:c r="Z15" s="38" t="str">
        <x:v>https://tn.linkedin.com/jobs/view/fluent-english-customer-support-consultant-remotely-at-supportyourapp-4480351406</x:v>
      </x:c>
      <x:c r="AA15" s="38" t="str">
        <x:v>https://apply.workable.com/supportyourapp/</x:v>
      </x:c>
      <x:c r="AB15" s="38" t="str">
        <x:v>Try LinkedIn Apply; cross-check current employer Workable openings before submitting.</x:v>
      </x:c>
      <x:c r="AC15" s="38" t="str">
        <x:v>Not applied</x:v>
      </x:c>
      <x:c r="AD15" s="38"/>
      <x:c r="AE15" s="38"/>
      <x:c r="AF15" s="38" t="str">
        <x:v>2026-10-20</x:v>
      </x:c>
      <x:c r="AG15" s="38" t="str">
        <x:v>English-only ticket/email lead. A separate older English-only Workable link may be closed; do not assume open.</x:v>
      </x:c>
      <x:c r="AH15" s="38" t="str">
        <x:v>Apply / verify</x:v>
      </x:c>
    </x:row>
    <x:row r="16" ht="62" customHeight="1">
      <x:c r="A16" s="42" t="n">
        <x:v>6</x:v>
      </x:c>
      <x:c r="B16" s="42" t="str">
        <x:v>B TARGET</x:v>
      </x:c>
      <x:c r="C16" s="38" t="str">
        <x:v>Apply after brief checks</x:v>
      </x:c>
      <x:c r="D16" s="38" t="str">
        <x:v>Whizz</x:v>
      </x:c>
      <x:c r="E16" s="38" t="str">
        <x:v>Virtual Customer Service Representative — e-mobility</x:v>
      </x:c>
      <x:c r="F16" s="38" t="str">
        <x:v>Electric bikes; video support</x:v>
      </x:c>
      <x:c r="G16" s="38" t="n">
        <x:v>4</x:v>
      </x:c>
      <x:c r="H16" s="38" t="str">
        <x:v>Cannot verify: no employer data on acceptance rates</x:v>
      </x:c>
      <x:c r="I16" s="38" t="str">
        <x:v>Tunisia on job aggregator; remote</x:v>
      </x:c>
      <x:c r="J16" s="38" t="str">
        <x:v>TUNISIA APPEARS ON 3RD-PARTY LISTING; employer confirmation needed</x:v>
      </x:c>
      <x:c r="K16" s="38" t="str">
        <x:v>RECENT | third-party; employer direct opening NOT confirmed</x:v>
      </x:c>
      <x:c r="L16" s="38" t="str">
        <x:v>English C1–C2 + fluent French and Arabic</x:v>
      </x:c>
      <x:c r="M16" s="38" t="str">
        <x:v>B2 may be assessed / confirm</x:v>
      </x:c>
      <x:c r="N16" s="38" t="str">
        <x:v>2+ years</x:v>
      </x:c>
      <x:c r="O16" s="38" t="str">
        <x:v>Live-video kiosk support for e-bike customers: batteries, rentals, accessories and billing.</x:v>
      </x:c>
      <x:c r="P16" s="38" t="str">
        <x:v>2+ yrs support / sales / call center, CRM, customer video interaction, fluent FR/AR/EN.</x:v>
      </x:c>
      <x:c r="Q16" s="38" t="str">
        <x:v>Strong fit with technical/e-bike/BMS background, English C1 and customer service.</x:v>
      </x:c>
      <x:c r="R16" s="38" t="str">
        <x:v>French oral fluency, mandatory camera/video presence and 2+ years support, live employer requisition unverified.</x:v>
      </x:c>
      <x:c r="S16" s="38" t="str">
        <x:v>Full-time</x:v>
      </x:c>
      <x:c r="T16" s="38" t="str">
        <x:v>Not disclosed</x:v>
      </x:c>
      <x:c r="U16" s="38" t="str">
        <x:v>Salary not disclosed. Aggregator ESTIMATE USD 37,440–46,800/year — NOT A VERIFIED OFFER</x:v>
      </x:c>
      <x:c r="V16" s="38" t="str">
        <x:v>Third-party automatic estimate; DO NOT treat as salary expected in Tunisia</x:v>
      </x:c>
      <x:c r="W16" s="38" t="n">
        <x:v>2600</x:v>
      </x:c>
      <x:c r="X16" s="39" t="n">
        <x:f>IF(W16="","",(W16-$B$5)/$B$5)</x:f>
        <x:v>0.6774193548387096</x:v>
      </x:c>
      <x:c r="Y16" s="38" t="str">
        <x:v>Third-party listing only</x:v>
      </x:c>
      <x:c r="Z16" s="38" t="str">
        <x:v>https://jobs-radar.com/en/job/virtual-customer-service-representative-remote-at-whizz-4a3c6f</x:v>
      </x:c>
      <x:c r="AA16" s="38" t="str">
        <x:v>https://www.bayt.com/en/tunisia/jobs/virtual-customer-service-representative-remote-74254701/</x:v>
      </x:c>
      <x:c r="AB16" s="38" t="str">
        <x:v>Locate employer-direct apply and verify Tunisia status BEFORE investing in lengthy forms.</x:v>
      </x:c>
      <x:c r="AC16" s="38" t="str">
        <x:v>Not applied</x:v>
      </x:c>
      <x:c r="AD16" s="38"/>
      <x:c r="AE16" s="38"/>
      <x:c r="AF16" s="38" t="str">
        <x:v>2026-10-20</x:v>
      </x:c>
      <x:c r="AG16" s="38" t="str">
        <x:v>Bayt shows inconsistent future posting date (2027); treat that source with caution.</x:v>
      </x:c>
      <x:c r="AH16" s="38" t="str">
        <x:v>Apply / verify</x:v>
      </x:c>
    </x:row>
    <x:row r="17" ht="62" customHeight="1">
      <x:c r="A17" s="42" t="n">
        <x:v>7</x:v>
      </x:c>
      <x:c r="B17" s="42" t="str">
        <x:v>B TARGET</x:v>
      </x:c>
      <x:c r="C17" s="38" t="str">
        <x:v>Apply after brief checks</x:v>
      </x:c>
      <x:c r="D17" s="38" t="str">
        <x:v>Promenade (BloomNation)</x:v>
      </x:c>
      <x:c r="E17" s="38" t="str">
        <x:v>Customer Service Representative</x:v>
      </x:c>
      <x:c r="F17" s="38" t="str">
        <x:v>English customer support</x:v>
      </x:c>
      <x:c r="G17" s="38" t="n">
        <x:v>3</x:v>
      </x:c>
      <x:c r="H17" s="38" t="str">
        <x:v>Cannot verify: no employer data on acceptance rates</x:v>
      </x:c>
      <x:c r="I17" s="38" t="str">
        <x:v>Remote; residency countries not shown in post</x:v>
      </x:c>
      <x:c r="J17" s="38" t="str">
        <x:v>NOT CONFIRMED FOR TUNISIA</x:v>
      </x:c>
      <x:c r="K17" s="38" t="str">
        <x:v>OFFICIAL listing; country restriction unresolved</x:v>
      </x:c>
      <x:c r="L17" s="38" t="str">
        <x:v>English</x:v>
      </x:c>
      <x:c r="M17" s="38" t="str">
        <x:v>No French threshold stated</x:v>
      </x:c>
      <x:c r="N17" s="38" t="str">
        <x:v>Not specified</x:v>
      </x:c>
      <x:c r="O17" s="38" t="str">
        <x:v>Reply to customer inquiries, resolve ordering/platform service issues and escalate bugs.</x:v>
      </x:c>
      <x:c r="P17" s="38" t="str">
        <x:v>Customer-service experience, clear writing and call/chat follow-up.</x:v>
      </x:c>
      <x:c r="Q17" s="38" t="str">
        <x:v>C1 English, prior support, ticket documentation.</x:v>
      </x:c>
      <x:c r="R17" s="38" t="str">
        <x:v>May hire only US or select regions; cannot treat remote as global.</x:v>
      </x:c>
      <x:c r="S17" s="38" t="str">
        <x:v>Full-time (confirm)</x:v>
      </x:c>
      <x:c r="T17" s="38" t="str">
        <x:v>Not disclosed</x:v>
      </x:c>
      <x:c r="U17" s="38" t="str">
        <x:v>NOT DISCLOSED</x:v>
      </x:c>
      <x:c r="V17" s="38" t="str">
        <x:v>No figure stated by employer</x:v>
      </x:c>
      <x:c r="W17" s="38" t="n">
        <x:v>2600</x:v>
      </x:c>
      <x:c r="X17" s="39" t="n">
        <x:f>IF(W17="","",(W17-$B$5)/$B$5)</x:f>
        <x:v>0.6774193548387096</x:v>
      </x:c>
      <x:c r="Y17" s="38" t="str">
        <x:v>Official employer posting</x:v>
      </x:c>
      <x:c r="Z17" s="38" t="str">
        <x:v>https://jobs.lever.co/promenade/baa8fb41-da6b-4c49-989a-9d7d26e275f6</x:v>
      </x:c>
      <x:c r="AA17" s="38" t="str">
        <x:v>https://jobs.lever.co/promenade?workplaceType=remote</x:v>
      </x:c>
      <x:c r="AB17" s="38" t="str">
        <x:v>Email recruiting with a one-line Tunisia eligibility question before completing the application.</x:v>
      </x:c>
      <x:c r="AC17" s="38" t="str">
        <x:v>Not applied</x:v>
      </x:c>
      <x:c r="AD17" s="38"/>
      <x:c r="AE17" s="38"/>
      <x:c r="AF17" s="38" t="str">
        <x:v>2026-10-20</x:v>
      </x:c>
      <x:c r="AG17" s="38" t="str"/>
      <x:c r="AH17" s="38" t="str">
        <x:v>Apply / verify</x:v>
      </x:c>
    </x:row>
    <x:row r="18" ht="62" customHeight="1">
      <x:c r="A18" s="42" t="n">
        <x:v>8</x:v>
      </x:c>
      <x:c r="B18" s="42" t="str">
        <x:v>B TARGET</x:v>
      </x:c>
      <x:c r="C18" s="38" t="str">
        <x:v>Apply after brief checks</x:v>
      </x:c>
      <x:c r="D18" s="38" t="str">
        <x:v>SupportYourApp</x:v>
      </x:c>
      <x:c r="E18" s="38" t="str">
        <x:v>Technical Support Consultant — Networking (English C1)</x:v>
      </x:c>
      <x:c r="F18" s="38" t="str">
        <x:v>Linux / DNS / VPN technical support</x:v>
      </x:c>
      <x:c r="G18" s="38" t="n">
        <x:v>3</x:v>
      </x:c>
      <x:c r="H18" s="38" t="str">
        <x:v>Cannot verify: no employer data on acceptance rates</x:v>
      </x:c>
      <x:c r="I18" s="38" t="str">
        <x:v>Remote; Tunisia via job-board listing (not employer confirmed)</x:v>
      </x:c>
      <x:c r="J18" s="38" t="str">
        <x:v>TUNISIA ELIGIBILITY NOT CONFIRMED ON DIRECT ROLE</x:v>
      </x:c>
      <x:c r="K18" s="38" t="str">
        <x:v>OFFICIAL Workable role; location ambiguous</x:v>
      </x:c>
      <x:c r="L18" s="38" t="str">
        <x:v>English C1</x:v>
      </x:c>
      <x:c r="M18" s="38" t="str">
        <x:v>No French threshold stated</x:v>
      </x:c>
      <x:c r="N18" s="38" t="str">
        <x:v>Prior technical support preferred</x:v>
      </x:c>
      <x:c r="O18" s="38" t="str">
        <x:v>Diagnose IP, VPN, WireGuard, routing, connectivity and logs for global tech clients.</x:v>
      </x:c>
      <x:c r="P18" s="38" t="str">
        <x:v>English C1, networking/IPsec, Linux client tools, log analysis, prior technical helpdesk.</x:v>
      </x:c>
      <x:c r="Q18" s="38" t="str">
        <x:v>C1 English, Linux, command line, troubleshooting, support background.</x:v>
      </x:c>
      <x:c r="R18" s="38" t="str">
        <x:v>May demand serious hands-on VPN/IPsec skills; Tunisia hiring not confirmed at official page.</x:v>
      </x:c>
      <x:c r="S18" s="38" t="str">
        <x:v>Contract</x:v>
      </x:c>
      <x:c r="T18" s="38" t="str">
        <x:v>Not disclosed</x:v>
      </x:c>
      <x:c r="U18" s="38" t="str">
        <x:v>Paid in USD; amount NOT DISCLOSED</x:v>
      </x:c>
      <x:c r="V18" s="38" t="str">
        <x:v>No disclosed numeric figure</x:v>
      </x:c>
      <x:c r="W18" s="38" t="n">
        <x:v>2600</x:v>
      </x:c>
      <x:c r="X18" s="39" t="n">
        <x:f>IF(W18="","",(W18-$B$5)/$B$5)</x:f>
        <x:v>0.6774193548387096</x:v>
      </x:c>
      <x:c r="Y18" s="38" t="str">
        <x:v>Official employer posting</x:v>
      </x:c>
      <x:c r="Z18" s="38" t="str">
        <x:v>https://apply.workable.com/supportyourapp/j/D5429C0E68/</x:v>
      </x:c>
      <x:c r="AA18" s="38" t="str">
        <x:v>https://apply.workable.com/supportyourapp/</x:v>
      </x:c>
      <x:c r="AB18" s="38" t="str">
        <x:v>Confirm Tunisian residency allowed, then prepare WireGuard/DNS/traceroute/SSH case studies.</x:v>
      </x:c>
      <x:c r="AC18" s="38" t="str">
        <x:v>Not applied</x:v>
      </x:c>
      <x:c r="AD18" s="38"/>
      <x:c r="AE18" s="38"/>
      <x:c r="AF18" s="38" t="str">
        <x:v>2026-10-20</x:v>
      </x:c>
      <x:c r="AG18" s="38" t="str"/>
      <x:c r="AH18" s="38" t="str">
        <x:v>Apply / verify</x:v>
      </x:c>
    </x:row>
    <x:row r="19" ht="62" customHeight="1">
      <x:c r="A19" s="42" t="n">
        <x:v>9</x:v>
      </x:c>
      <x:c r="B19" s="42" t="str">
        <x:v>B TARGET</x:v>
      </x:c>
      <x:c r="C19" s="38" t="str">
        <x:v>Apply after brief checks</x:v>
      </x:c>
      <x:c r="D19" s="38" t="str">
        <x:v>WPMU DEV</x:v>
      </x:c>
      <x:c r="E19" s="38" t="str">
        <x:v>Hosting Support</x:v>
      </x:c>
      <x:c r="F19" s="38" t="str">
        <x:v>English Linux/WordPress support</x:v>
      </x:c>
      <x:c r="G19" s="38" t="n">
        <x:v>3</x:v>
      </x:c>
      <x:c r="H19" s="38" t="str">
        <x:v>Cannot verify: no employer data on acceptance rates</x:v>
      </x:c>
      <x:c r="I19" s="38" t="str">
        <x:v>Advertises global / remote; verify legal availability</x:v>
      </x:c>
      <x:c r="J19" s="38" t="str">
        <x:v>Worldwide remote claimed on prior employer page; verify actual Tunisia acceptance</x:v>
      </x:c>
      <x:c r="K19" s="38" t="str">
        <x:v>EMPLOYER ROLE PAGE; availability requires recheck</x:v>
      </x:c>
      <x:c r="L19" s="38" t="str">
        <x:v>English, strong written communication</x:v>
      </x:c>
      <x:c r="M19" s="38" t="str">
        <x:v>No French threshold stated</x:v>
      </x:c>
      <x:c r="N19" s="38" t="str">
        <x:v>Not specified</x:v>
      </x:c>
      <x:c r="O19" s="38" t="str">
        <x:v>Support WordPress hosting via chat/tickets, investigate DNS/SSL/database/Linux server issues.</x:v>
      </x:c>
      <x:c r="P19" s="38" t="str">
        <x:v>WordPress, PHP, MySQL, DNS, hosting operations, customer response skills.</x:v>
      </x:c>
      <x:c r="Q19" s="38" t="str">
        <x:v>Linux/technical support background and ability to debug complex problems.</x:v>
      </x:c>
      <x:c r="R19" s="38" t="str">
        <x:v>WordPress/PHP/MySQL experience less proven; schedule may run evenings/nights.</x:v>
      </x:c>
      <x:c r="S19" s="38" t="str">
        <x:v>Remote employment / contract terms unconfirmed</x:v>
      </x:c>
      <x:c r="T19" s="38" t="str">
        <x:v>Not disclosed</x:v>
      </x:c>
      <x:c r="U19" s="38" t="str">
        <x:v>Not disclosed</x:v>
      </x:c>
      <x:c r="V19" s="38" t="str">
        <x:v>No figure stated by employer</x:v>
      </x:c>
      <x:c r="W19" s="38" t="n">
        <x:v>2600</x:v>
      </x:c>
      <x:c r="X19" s="39" t="n">
        <x:f>IF(W19="","",(W19-$B$5)/$B$5)</x:f>
        <x:v>0.6774193548387096</x:v>
      </x:c>
      <x:c r="Y19" s="38" t="str">
        <x:v>Official employer role page, accessibility may vary</x:v>
      </x:c>
      <x:c r="Z19" s="38" t="str">
        <x:v>https://wpmudev.com/career/hosting-support/</x:v>
      </x:c>
      <x:c r="AA19" s="38" t="str">
        <x:v>https://wpmudev.com/careers/</x:v>
      </x:c>
      <x:c r="AB19" s="38" t="str">
        <x:v>Before applying, practice a WordPress local stack and SSL/DNS troubleshooting.</x:v>
      </x:c>
      <x:c r="AC19" s="38" t="str">
        <x:v>Not applied</x:v>
      </x:c>
      <x:c r="AD19" s="38"/>
      <x:c r="AE19" s="38"/>
      <x:c r="AF19" s="38" t="str">
        <x:v>2026-10-20</x:v>
      </x:c>
      <x:c r="AG19" s="38" t="str"/>
      <x:c r="AH19" s="38" t="str">
        <x:v>Apply / verify</x:v>
      </x:c>
    </x:row>
    <x:row r="20" ht="62" customHeight="1">
      <x:c r="A20" s="42" t="n">
        <x:v>10</x:v>
      </x:c>
      <x:c r="B20" s="42" t="str">
        <x:v>C LANGUAGE</x:v>
      </x:c>
      <x:c r="C20" s="38" t="str">
        <x:v>Conditional / prepare</x:v>
      </x:c>
      <x:c r="D20" s="38" t="str">
        <x:v>5CA</x:v>
      </x:c>
      <x:c r="E20" s="38" t="str">
        <x:v>French / English Customer Support Agent — consumer electronics</x:v>
      </x:c>
      <x:c r="F20" s="38" t="str">
        <x:v>Gaming/e-commerce phone &amp; chat</x:v>
      </x:c>
      <x:c r="G20" s="38" t="n">
        <x:v>2</x:v>
      </x:c>
      <x:c r="H20" s="38" t="str">
        <x:v>Cannot verify: no employer data on acceptance rates</x:v>
      </x:c>
      <x:c r="I20" s="38" t="str">
        <x:v>Remote Tunisia / Algeria explicitly</x:v>
      </x:c>
      <x:c r="J20" s="38" t="str">
        <x:v>TUNISIA EXPLICITLY ACCEPTED; HARD FRENCH LANGUAGE GAP</x:v>
      </x:c>
      <x:c r="K20" s="38" t="str">
        <x:v>LIVE | official employer application</x:v>
      </x:c>
      <x:c r="L20" s="38" t="str">
        <x:v>French C1 MINIMUM + English B2</x:v>
      </x:c>
      <x:c r="M20" s="38" t="str">
        <x:v>BELOW HARD C1 requirement</x:v>
      </x:c>
      <x:c r="N20" s="38" t="str">
        <x:v>Not specified</x:v>
      </x:c>
      <x:c r="O20" s="38" t="str">
        <x:v>Resolve consumer-electronics support via phone, email, live chat and social media.</x:v>
      </x:c>
      <x:c r="P20" s="38" t="str">
        <x:v>French C1 required; English B2; 15 Mbps up/down, &gt;=8GB RAM and supported OS.</x:v>
      </x:c>
      <x:c r="Q20" s="38" t="str">
        <x:v>Remote Tunisia and hardware troubleshooting fit.</x:v>
      </x:c>
      <x:c r="R20" s="38" t="str">
        <x:v>User French B2 falls below HARD MINIMUM.</x:v>
      </x:c>
      <x:c r="S20" s="38" t="str">
        <x:v>Remote</x:v>
      </x:c>
      <x:c r="T20" s="38" t="str">
        <x:v>Not disclosed</x:v>
      </x:c>
      <x:c r="U20" s="38" t="str">
        <x:v>NOT DISCLOSED</x:v>
      </x:c>
      <x:c r="V20" s="38" t="str">
        <x:v>No figure stated by employer</x:v>
      </x:c>
      <x:c r="W20" s="38"/>
      <x:c r="X20" s="39" t="str">
        <x:f>IF(W20="","",(W20-$B$5)/$B$5)</x:f>
      </x:c>
      <x:c r="Y20" s="38" t="str">
        <x:v>Official employer posting</x:v>
      </x:c>
      <x:c r="Z20" s="38" t="str">
        <x:v>https://jobs.5ca.com/jobs?gh_jid=4726931101</x:v>
      </x:c>
      <x:c r="AA20" s="38" t="str">
        <x:v>https://jobs.5ca.com/jobs-at-5ca/</x:v>
      </x:c>
      <x:c r="AB20" s="38" t="str">
        <x:v>Do not report French C1 until genuinely tested; revisit after improvement or ask about B2-accepted roles.</x:v>
      </x:c>
      <x:c r="AC20" s="38" t="str">
        <x:v>Not applied</x:v>
      </x:c>
      <x:c r="AD20" s="38"/>
      <x:c r="AE20" s="38"/>
      <x:c r="AF20" s="38" t="str">
        <x:v>2026-10-20</x:v>
      </x:c>
      <x:c r="AG20" s="38" t="str">
        <x:v>This is a real role but not a high-hireability one at current B2.</x:v>
      </x:c>
      <x:c r="AH20" s="38" t="str">
        <x:v>Apply / verify</x:v>
      </x:c>
    </x:row>
    <x:row r="21" ht="62" customHeight="1">
      <x:c r="A21" s="42" t="n">
        <x:v>11</x:v>
      </x:c>
      <x:c r="B21" s="42" t="str">
        <x:v>C LANGUAGE</x:v>
      </x:c>
      <x:c r="C21" s="38" t="str">
        <x:v>Conditional / prepare</x:v>
      </x:c>
      <x:c r="D21" s="38" t="str">
        <x:v>SupportYourApp</x:v>
      </x:c>
      <x:c r="E21" s="38" t="str">
        <x:v>Customer Support Consultant — French + English</x:v>
      </x:c>
      <x:c r="F21" s="38" t="str">
        <x:v>French-first customer service</x:v>
      </x:c>
      <x:c r="G21" s="38" t="n">
        <x:v>2</x:v>
      </x:c>
      <x:c r="H21" s="38" t="str">
        <x:v>Cannot verify: no employer data on acceptance rates</x:v>
      </x:c>
      <x:c r="I21" s="38" t="str">
        <x:v>Tunisia / Algeria / Morocco / West Africa • remote</x:v>
      </x:c>
      <x:c r="J21" s="38" t="str">
        <x:v>TUNISIA EXPLICITLY ACCEPTED BUT FRENCH C1 MANDATORY</x:v>
      </x:c>
      <x:c r="K21" s="38" t="str">
        <x:v>LIVE | official direct application</x:v>
      </x:c>
      <x:c r="L21" s="38" t="str">
        <x:v>French C1 MINIMUM, English C1</x:v>
      </x:c>
      <x:c r="M21" s="38" t="str">
        <x:v>BELOW HARD C1 requirement</x:v>
      </x:c>
      <x:c r="N21" s="38" t="str">
        <x:v>Not specified</x:v>
      </x:c>
      <x:c r="O21" s="38" t="str">
        <x:v>Handle booking / guest-support and general customer questions through calls/email/chat.</x:v>
      </x:c>
      <x:c r="P21" s="38" t="str">
        <x:v>At least 1 year support, C1 French + C1 English, comfort with calls; CRM tools.</x:v>
      </x:c>
      <x:c r="Q21" s="38" t="str">
        <x:v>English C1, general support track record, Tunisia eligible.</x:v>
      </x:c>
      <x:c r="R21" s="38" t="str">
        <x:v>French C1 is mandatory and the form explicitly asks for it; your B2 currently fails.</x:v>
      </x:c>
      <x:c r="S21" s="38" t="str">
        <x:v>Contract</x:v>
      </x:c>
      <x:c r="T21" s="38" t="str">
        <x:v>Rotating shifts (8–16 or 15–23 GMT+2) in employer form</x:v>
      </x:c>
      <x:c r="U21" s="38" t="str">
        <x:v>NOT DISCLOSED</x:v>
      </x:c>
      <x:c r="V21" s="38" t="str">
        <x:v>No figure stated by employer</x:v>
      </x:c>
      <x:c r="W21" s="38"/>
      <x:c r="X21" s="39" t="str">
        <x:f>IF(W21="","",(W21-$B$5)/$B$5)</x:f>
      </x:c>
      <x:c r="Y21" s="38" t="str">
        <x:v>Official employer posting</x:v>
      </x:c>
      <x:c r="Z21" s="38" t="str">
        <x:v>https://apply.workable.com/supportyourapp/j/1DCFF851AE/apply/</x:v>
      </x:c>
      <x:c r="AA21" s="38" t="str">
        <x:v>https://tn.linkedin.com/jobs/view/fluent-english-french-customer-support-consultant-remote-at-supportyourapp-4478533042</x:v>
      </x:c>
      <x:c r="AB21" s="38" t="str">
        <x:v>Bookmark, not immediate; only apply if French reaches actual C1.</x:v>
      </x:c>
      <x:c r="AC21" s="38" t="str">
        <x:v>Not applied</x:v>
      </x:c>
      <x:c r="AD21" s="38"/>
      <x:c r="AE21" s="38"/>
      <x:c r="AF21" s="38" t="str">
        <x:v>2026-10-20</x:v>
      </x:c>
      <x:c r="AG21" s="38" t="str"/>
      <x:c r="AH21" s="38" t="str">
        <x:v>Apply / verify</x:v>
      </x:c>
    </x:row>
    <x:row r="22" ht="62" customHeight="1">
      <x:c r="A22" s="42" t="n">
        <x:v>12</x:v>
      </x:c>
      <x:c r="B22" s="42" t="str">
        <x:v>C SKILL</x:v>
      </x:c>
      <x:c r="C22" s="38" t="str">
        <x:v>Conditional / prepare</x:v>
      </x:c>
      <x:c r="D22" s="38" t="str">
        <x:v>Clipboard</x:v>
      </x:c>
      <x:c r="E22" s="38" t="str">
        <x:v>Knowledge Operations Specialist (SOPs / documentation)</x:v>
      </x:c>
      <x:c r="F22" s="38" t="str">
        <x:v>Operations documentation; adjacent</x:v>
      </x:c>
      <x:c r="G22" s="38" t="n">
        <x:v>2</x:v>
      </x:c>
      <x:c r="H22" s="38" t="str">
        <x:v>Cannot verify: no employer data on acceptance rates</x:v>
      </x:c>
      <x:c r="I22" s="38" t="str">
        <x:v>Africa / worldwide remote stated</x:v>
      </x:c>
      <x:c r="J22" s="38" t="str">
        <x:v>AFRICA/GLOBAL REMOTE IN LISTING</x:v>
      </x:c>
      <x:c r="K22" s="38" t="str">
        <x:v>LIVE | employer career posting</x:v>
      </x:c>
      <x:c r="L22" s="38" t="str">
        <x:v>English</x:v>
      </x:c>
      <x:c r="M22" s="38" t="str">
        <x:v>No French threshold stated</x:v>
      </x:c>
      <x:c r="N22" s="38" t="str">
        <x:v>Not specified</x:v>
      </x:c>
      <x:c r="O22" s="38" t="str">
        <x:v>Write and improve internal playbooks and troubleshooting knowledge articles.</x:v>
      </x:c>
      <x:c r="P22" s="38" t="str">
        <x:v>3+ years knowledge management/process documentation; Zendesk/Notion etc.</x:v>
      </x:c>
      <x:c r="Q22" s="38" t="str">
        <x:v>Technical documentation, SOPs, systematic troubleshooting.</x:v>
      </x:c>
      <x:c r="R22" s="38" t="str">
        <x:v>3+ years dedicated documentation experience unclear; not first-choice customer-support position.</x:v>
      </x:c>
      <x:c r="S22" s="38" t="str">
        <x:v>Full-time</x:v>
      </x:c>
      <x:c r="T22" s="38" t="str">
        <x:v>Not disclosed</x:v>
      </x:c>
      <x:c r="U22" s="38" t="str">
        <x:v>NOT DISCLOSED</x:v>
      </x:c>
      <x:c r="V22" s="38" t="str">
        <x:v>No figure stated by employer</x:v>
      </x:c>
      <x:c r="W22" s="38"/>
      <x:c r="X22" s="39" t="str">
        <x:f>IF(W22="","",(W22-$B$5)/$B$5)</x:f>
      </x:c>
      <x:c r="Y22" s="38" t="str">
        <x:v>Official employer posting</x:v>
      </x:c>
      <x:c r="Z22" s="38" t="str">
        <x:v>https://jobs.ashbyhq.com/clipboard/8fd5e127-8f57-4330-ab7c-84c5e539929d</x:v>
      </x:c>
      <x:c r="AA22" s="38" t="str"/>
      <x:c r="AB22" s="38" t="str">
        <x:v>Treat as technical operations stretch; prioritize Clipboard CX specialist instead.</x:v>
      </x:c>
      <x:c r="AC22" s="38" t="str">
        <x:v>Not applied</x:v>
      </x:c>
      <x:c r="AD22" s="38"/>
      <x:c r="AE22" s="38"/>
      <x:c r="AF22" s="38" t="str">
        <x:v>2026-10-20</x:v>
      </x:c>
      <x:c r="AG22" s="38" t="str"/>
      <x:c r="AH22" s="38" t="str">
        <x:v>Apply / verify</x:v>
      </x:c>
    </x:row>
    <x:row r="23" ht="62" customHeight="1">
      <x:c r="A23" s="42" t="n">
        <x:v>13</x:v>
      </x:c>
      <x:c r="B23" s="42" t="str">
        <x:v>C SKILL</x:v>
      </x:c>
      <x:c r="C23" s="38" t="str">
        <x:v>Conditional / prepare</x:v>
      </x:c>
      <x:c r="D23" s="38" t="str">
        <x:v>HostPapa / Managed.com</x:v>
      </x:c>
      <x:c r="E23" s="38" t="str">
        <x:v>Technical Support Engineer</x:v>
      </x:c>
      <x:c r="F23" s="38" t="str">
        <x:v>Linux/web technical escalation</x:v>
      </x:c>
      <x:c r="G23" s="38" t="n">
        <x:v>2</x:v>
      </x:c>
      <x:c r="H23" s="38" t="str">
        <x:v>Cannot verify: no employer data on acceptance rates</x:v>
      </x:c>
      <x:c r="I23" s="38" t="str">
        <x:v>Remote team; Tunisia not confirmed</x:v>
      </x:c>
      <x:c r="J23" s="38" t="str">
        <x:v>REMOTE, TUNISIA UNCONFIRMED</x:v>
      </x:c>
      <x:c r="K23" s="38" t="str">
        <x:v>LIVE | official current careers directory</x:v>
      </x:c>
      <x:c r="L23" s="38" t="str">
        <x:v>English</x:v>
      </x:c>
      <x:c r="M23" s="38" t="str">
        <x:v>No French threshold stated</x:v>
      </x:c>
      <x:c r="N23" s="38" t="str">
        <x:v>Not specified</x:v>
      </x:c>
      <x:c r="O23" s="38" t="str">
        <x:v>Higher-level web hosting, Linux/cloud and infrastructure support.</x:v>
      </x:c>
      <x:c r="P23" s="38" t="str">
        <x:v>Advanced hosting, scripting, networking, incident triage, customer-facing troubleshooting.</x:v>
      </x:c>
      <x:c r="Q23" s="38" t="str">
        <x:v>Linux exposure, electronics/debugging, prior support.</x:v>
      </x:c>
      <x:c r="R23" s="38" t="str">
        <x:v>More experience may be needed than standard customer care; confirm description.</x:v>
      </x:c>
      <x:c r="S23" s="38" t="str">
        <x:v>Unconfirmed</x:v>
      </x:c>
      <x:c r="T23" s="38" t="str">
        <x:v>Not disclosed</x:v>
      </x:c>
      <x:c r="U23" s="38" t="str">
        <x:v>NOT DISCLOSED</x:v>
      </x:c>
      <x:c r="V23" s="38" t="str">
        <x:v>No figure stated by employer</x:v>
      </x:c>
      <x:c r="W23" s="38"/>
      <x:c r="X23" s="39" t="str">
        <x:f>IF(W23="","",(W23-$B$5)/$B$5)</x:f>
      </x:c>
      <x:c r="Y23" s="38" t="str">
        <x:v>Official current careers directory</x:v>
      </x:c>
      <x:c r="Z23" s="38" t="str">
        <x:v>https://careers.hostpapa.com/apply</x:v>
      </x:c>
      <x:c r="AA23" s="38" t="str"/>
      <x:c r="AB23" s="38" t="str">
        <x:v>Read exact technical requirements; only apply if helpdesk experience overlaps.</x:v>
      </x:c>
      <x:c r="AC23" s="38" t="str">
        <x:v>Not applied</x:v>
      </x:c>
      <x:c r="AD23" s="38"/>
      <x:c r="AE23" s="38"/>
      <x:c r="AF23" s="38" t="str">
        <x:v>2026-10-20</x:v>
      </x:c>
      <x:c r="AG23" s="38" t="str"/>
      <x:c r="AH23" s="38" t="str">
        <x:v>Apply / verify</x:v>
      </x:c>
    </x:row>
    <x:row r="24" ht="62" customHeight="1">
      <x:c r="A24" s="42" t="n">
        <x:v>14</x:v>
      </x:c>
      <x:c r="B24" s="42" t="str">
        <x:v>C SKILL</x:v>
      </x:c>
      <x:c r="C24" s="38" t="str">
        <x:v>Conditional / prepare</x:v>
      </x:c>
      <x:c r="D24" s="38" t="str">
        <x:v>WPMU DEV</x:v>
      </x:c>
      <x:c r="E24" s="38" t="str">
        <x:v>WordPress Support Specialist / Support Superhero</x:v>
      </x:c>
      <x:c r="F24" s="38" t="str">
        <x:v>WordPress technical support</x:v>
      </x:c>
      <x:c r="G24" s="38" t="n">
        <x:v>2</x:v>
      </x:c>
      <x:c r="H24" s="38" t="str">
        <x:v>Cannot verify: no employer data on acceptance rates</x:v>
      </x:c>
      <x:c r="I24" s="38" t="str">
        <x:v>Remote international employer</x:v>
      </x:c>
      <x:c r="J24" s="38" t="str">
        <x:v>GLOBAL REMOTE CLAIM; TUNISIA CONTRACT NOT CONFIRMED</x:v>
      </x:c>
      <x:c r="K24" s="38" t="str">
        <x:v>Employer careers post; verify currently hiring</x:v>
      </x:c>
      <x:c r="L24" s="38" t="str">
        <x:v>English</x:v>
      </x:c>
      <x:c r="M24" s="38" t="str">
        <x:v>No French threshold stated</x:v>
      </x:c>
      <x:c r="N24" s="38" t="str">
        <x:v>Not specified</x:v>
      </x:c>
      <x:c r="O24" s="38" t="str">
        <x:v>Solve WP plugin/theme/site issues, inspect hosting and PHP cases.</x:v>
      </x:c>
      <x:c r="P24" s="38" t="str">
        <x:v>2+ yrs WordPress, PHP, CSS, MySQL and excellent client communication.</x:v>
      </x:c>
      <x:c r="Q24" s="38" t="str">
        <x:v>Linux and technical support good foundation.</x:v>
      </x:c>
      <x:c r="R24" s="38" t="str">
        <x:v>Specific WordPress/PHP experience missing and 2-year specialist threshold.</x:v>
      </x:c>
      <x:c r="S24" s="38" t="str">
        <x:v>Unconfirmed</x:v>
      </x:c>
      <x:c r="T24" s="38" t="str">
        <x:v>Not disclosed</x:v>
      </x:c>
      <x:c r="U24" s="38" t="str">
        <x:v>NOT DISCLOSED</x:v>
      </x:c>
      <x:c r="V24" s="38" t="str">
        <x:v>No figure stated by employer</x:v>
      </x:c>
      <x:c r="W24" s="38"/>
      <x:c r="X24" s="39" t="str">
        <x:f>IF(W24="","",(W24-$B$5)/$B$5)</x:f>
      </x:c>
      <x:c r="Y24" s="38" t="str">
        <x:v>Official employer posting</x:v>
      </x:c>
      <x:c r="Z24" s="38" t="str">
        <x:v>https://wpmudev.com/career/support-superhero/</x:v>
      </x:c>
      <x:c r="AA24" s="38" t="str">
        <x:v>https://wpmudev.com/careers/</x:v>
      </x:c>
      <x:c r="AB24" s="38" t="str">
        <x:v>Build WordPress/PHP/MySQL lab first; secondary application.</x:v>
      </x:c>
      <x:c r="AC24" s="38" t="str">
        <x:v>Not applied</x:v>
      </x:c>
      <x:c r="AD24" s="38"/>
      <x:c r="AE24" s="38"/>
      <x:c r="AF24" s="38" t="str">
        <x:v>2026-10-20</x:v>
      </x:c>
      <x:c r="AG24" s="38" t="str"/>
      <x:c r="AH24" s="38" t="str">
        <x:v>Apply / verify</x:v>
      </x:c>
    </x:row>
    <x:row r="25" ht="62" customHeight="1">
      <x:c r="A25" s="42" t="n">
        <x:v>15</x:v>
      </x:c>
      <x:c r="B25" s="42" t="str">
        <x:v>D VERIFY</x:v>
      </x:c>
      <x:c r="C25" s="38" t="str">
        <x:v>Verify residency &amp; status</x:v>
      </x:c>
      <x:c r="D25" s="38" t="str">
        <x:v>Assist World</x:v>
      </x:c>
      <x:c r="E25" s="38" t="str">
        <x:v>Customer Service Representative</x:v>
      </x:c>
      <x:c r="F25" s="38" t="str">
        <x:v>English customer service</x:v>
      </x:c>
      <x:c r="G25" s="38" t="n">
        <x:v>3</x:v>
      </x:c>
      <x:c r="H25" s="38" t="str">
        <x:v>Cannot verify: no employer data on acceptance rates</x:v>
      </x:c>
      <x:c r="I25" s="38" t="str">
        <x:v>Remote; region not shown in employer listing</x:v>
      </x:c>
      <x:c r="J25" s="38" t="str">
        <x:v>REMOTE, BUT TUNISIA NOT CONFIRMED</x:v>
      </x:c>
      <x:c r="K25" s="38" t="str">
        <x:v>OFFICIAL role; country unconfirmed</x:v>
      </x:c>
      <x:c r="L25" s="38" t="str">
        <x:v>English</x:v>
      </x:c>
      <x:c r="M25" s="38" t="str">
        <x:v>No French threshold stated</x:v>
      </x:c>
      <x:c r="N25" s="38" t="str">
        <x:v>2+ years</x:v>
      </x:c>
      <x:c r="O25" s="38" t="str">
        <x:v>Serve inbound customers, solve order/account issues and document support.</x:v>
      </x:c>
      <x:c r="P25" s="38" t="str">
        <x:v>2+ years support, clear English, US Central shift availability.</x:v>
      </x:c>
      <x:c r="Q25" s="38" t="str">
        <x:v>C1 English and prior support.</x:v>
      </x:c>
      <x:c r="R25" s="38" t="str">
        <x:v>Employer might be hiring for a particular region only; US time-zone hours.</x:v>
      </x:c>
      <x:c r="S25" s="38" t="str">
        <x:v>Unconfirmed</x:v>
      </x:c>
      <x:c r="T25" s="38" t="str">
        <x:v>07:00–15:30 US Central (verify shifts)</x:v>
      </x:c>
      <x:c r="U25" s="38" t="str">
        <x:v>USD 1,100–1,200/month (employer listed)</x:v>
      </x:c>
      <x:c r="V25" s="38" t="str">
        <x:v>Employer listing; region may not be Tunisia, so cannot count as local offer</x:v>
      </x:c>
      <x:c r="W25" s="38"/>
      <x:c r="X25" s="39" t="str">
        <x:f>IF(W25="","",(W25-$B$5)/$B$5)</x:f>
      </x:c>
      <x:c r="Y25" s="38" t="str">
        <x:v>Official employer posting</x:v>
      </x:c>
      <x:c r="Z25" s="38" t="str">
        <x:v>https://jobs.lever.co/assist-world/b75c51c4-5817-46cb-90d1-593cc759862c</x:v>
      </x:c>
      <x:c r="AA25" s="38" t="str"/>
      <x:c r="AB25" s="38" t="str">
        <x:v>Ask if Tunisian independent contractors can apply before preparing an application.</x:v>
      </x:c>
      <x:c r="AC25" s="38" t="str">
        <x:v>Watch only</x:v>
      </x:c>
      <x:c r="AD25" s="38"/>
      <x:c r="AE25" s="38"/>
      <x:c r="AF25" s="38" t="str">
        <x:v>2026-10-20</x:v>
      </x:c>
      <x:c r="AG25" s="38" t="str"/>
      <x:c r="AH25" s="38" t="str">
        <x:v>Watch / not active</x:v>
      </x:c>
    </x:row>
    <x:row r="26" ht="62" customHeight="1">
      <x:c r="A26" s="42" t="n">
        <x:v>16</x:v>
      </x:c>
      <x:c r="B26" s="42" t="str">
        <x:v>D VERIFY</x:v>
      </x:c>
      <x:c r="C26" s="38" t="str">
        <x:v>Verify residency &amp; status</x:v>
      </x:c>
      <x:c r="D26" s="38" t="str">
        <x:v>Binance</x:v>
      </x:c>
      <x:c r="E26" s="38" t="str">
        <x:v>Customer Service Representative — Arabic / English</x:v>
      </x:c>
      <x:c r="F26" s="38" t="str">
        <x:v>Crypto exchange customer service</x:v>
      </x:c>
      <x:c r="G26" s="38" t="n">
        <x:v>3</x:v>
      </x:c>
      <x:c r="H26" s="38" t="str">
        <x:v>Cannot verify: no employer data on acceptance rates</x:v>
      </x:c>
      <x:c r="I26" s="38" t="str">
        <x:v>Remote-first listing officially tied to Jordan</x:v>
      </x:c>
      <x:c r="J26" s="38" t="str">
        <x:v>OFFICIAL LOCATION JORDAN, NOT TUNISIA</x:v>
      </x:c>
      <x:c r="K26" s="38" t="str">
        <x:v>LIVE | OFFICIAL; country Jordan</x:v>
      </x:c>
      <x:c r="L26" s="38" t="str">
        <x:v>Arabic native / advanced English</x:v>
      </x:c>
      <x:c r="M26" s="38" t="str">
        <x:v>No French threshold stated</x:v>
      </x:c>
      <x:c r="N26" s="38" t="str">
        <x:v>Not specified</x:v>
      </x:c>
      <x:c r="O26" s="38" t="str">
        <x:v>Resolve cryptocurrency account/customer issues through high-volume chats and shifts.</x:v>
      </x:c>
      <x:c r="P26" s="38" t="str">
        <x:v>College degree, 1+ year support, Arabic and English, rotating availability.</x:v>
      </x:c>
      <x:c r="Q26" s="38" t="str">
        <x:v>Support, C1 English, tech familiarity.</x:v>
      </x:c>
      <x:c r="R26" s="38" t="str">
        <x:v>Tunisia not on country list; 24/7 shifts may not improve work-life balance.</x:v>
      </x:c>
      <x:c r="S26" s="38" t="str">
        <x:v>Unconfirmed</x:v>
      </x:c>
      <x:c r="T26" s="38" t="str">
        <x:v>Not disclosed</x:v>
      </x:c>
      <x:c r="U26" s="38" t="str">
        <x:v>NOT DISCLOSED</x:v>
      </x:c>
      <x:c r="V26" s="38" t="str">
        <x:v>No figure stated by employer</x:v>
      </x:c>
      <x:c r="W26" s="38"/>
      <x:c r="X26" s="39" t="str">
        <x:f>IF(W26="","",(W26-$B$5)/$B$5)</x:f>
      </x:c>
      <x:c r="Y26" s="38" t="str">
        <x:v>Official employer posting</x:v>
      </x:c>
      <x:c r="Z26" s="38" t="str">
        <x:v>https://job-boards.eu.greenhouse.io/binance/jobs/5002695101</x:v>
      </x:c>
      <x:c r="AA26" s="38" t="str"/>
      <x:c r="AB26" s="38" t="str">
        <x:v>Ask recruiter explicitly whether remote Jordan job accepts Tunisia-based contractors.</x:v>
      </x:c>
      <x:c r="AC26" s="38" t="str">
        <x:v>Watch only</x:v>
      </x:c>
      <x:c r="AD26" s="38"/>
      <x:c r="AE26" s="38"/>
      <x:c r="AF26" s="38" t="str">
        <x:v>2026-10-20</x:v>
      </x:c>
      <x:c r="AG26" s="38" t="str"/>
      <x:c r="AH26" s="38" t="str">
        <x:v>Watch / not active</x:v>
      </x:c>
    </x:row>
    <x:row r="27" ht="62" customHeight="1">
      <x:c r="A27" s="42" t="n">
        <x:v>17</x:v>
      </x:c>
      <x:c r="B27" s="42" t="str">
        <x:v>D VERIFY</x:v>
      </x:c>
      <x:c r="C27" s="38" t="str">
        <x:v>Verify residency &amp; status</x:v>
      </x:c>
      <x:c r="D27" s="38" t="str">
        <x:v>Candex</x:v>
      </x:c>
      <x:c r="E27" s="38" t="str">
        <x:v>Customer Support Specialist — French Speaker</x:v>
      </x:c>
      <x:c r="F27" s="38" t="str">
        <x:v>SaaS/fintech customer operations</x:v>
      </x:c>
      <x:c r="G27" s="38" t="n">
        <x:v>3</x:v>
      </x:c>
      <x:c r="H27" s="38" t="str">
        <x:v>Cannot verify: no employer data on acceptance rates</x:v>
      </x:c>
      <x:c r="I27" s="38" t="str">
        <x:v>Official page remote eligibility unclear; needs geographic check</x:v>
      </x:c>
      <x:c r="J27" s="38" t="str">
        <x:v>NO TUNISIA ELIGIBILITY CLAIM</x:v>
      </x:c>
      <x:c r="K27" s="38" t="str">
        <x:v>EMPLOYER listing; Tunisia not specified</x:v>
      </x:c>
      <x:c r="L27" s="38" t="str">
        <x:v>French fluent (no CEFR), English work communications</x:v>
      </x:c>
      <x:c r="M27" s="38" t="str">
        <x:v>B2 may be assessed / confirm</x:v>
      </x:c>
      <x:c r="N27" s="38" t="str">
        <x:v>Not specified</x:v>
      </x:c>
      <x:c r="O27" s="38" t="str">
        <x:v>Resolve procurement platform issues via email/chat/tickets; order reconciliation and escalation.</x:v>
      </x:c>
      <x:c r="P27" s="38" t="str">
        <x:v>Previous customer support and CRM tools, strong French, some travel.</x:v>
      </x:c>
      <x:c r="Q27" s="38" t="str">
        <x:v>Technical/operations support experience, procurement skills and English C1.</x:v>
      </x:c>
      <x:c r="R27" s="38" t="str">
        <x:v>French fluency and legal/geographic remote rules not clear.</x:v>
      </x:c>
      <x:c r="S27" s="38" t="str">
        <x:v>Unconfirmed</x:v>
      </x:c>
      <x:c r="T27" s="38" t="str">
        <x:v>Not disclosed</x:v>
      </x:c>
      <x:c r="U27" s="38" t="str">
        <x:v>NOT DISCLOSED</x:v>
      </x:c>
      <x:c r="V27" s="38" t="str">
        <x:v>No figure stated by employer</x:v>
      </x:c>
      <x:c r="W27" s="38"/>
      <x:c r="X27" s="39" t="str">
        <x:f>IF(W27="","",(W27-$B$5)/$B$5)</x:f>
      </x:c>
      <x:c r="Y27" s="38" t="str">
        <x:v>Official employer job page</x:v>
      </x:c>
      <x:c r="Z27" s="38" t="str">
        <x:v>https://jobs.ashbyhq.com/candex/95dca650-809b-473c-8569-8b439b4f48ac</x:v>
      </x:c>
      <x:c r="AA27" s="38" t="str"/>
      <x:c r="AB27" s="38" t="str">
        <x:v>Check the job location and relocation/travel restrictions before applying.</x:v>
      </x:c>
      <x:c r="AC27" s="38" t="str">
        <x:v>Watch only</x:v>
      </x:c>
      <x:c r="AD27" s="38"/>
      <x:c r="AE27" s="38"/>
      <x:c r="AF27" s="38" t="str">
        <x:v>2026-10-20</x:v>
      </x:c>
      <x:c r="AG27" s="38" t="str"/>
      <x:c r="AH27" s="38" t="str">
        <x:v>Watch / not active</x:v>
      </x:c>
    </x:row>
    <x:row r="28" ht="62" customHeight="1">
      <x:c r="A28" s="42" t="n">
        <x:v>18</x:v>
      </x:c>
      <x:c r="B28" s="42" t="str">
        <x:v>D VERIFY</x:v>
      </x:c>
      <x:c r="C28" s="38" t="str">
        <x:v>Verify residency &amp; status</x:v>
      </x:c>
      <x:c r="D28" s="38" t="str">
        <x:v>HLTH</x:v>
      </x:c>
      <x:c r="E28" s="38" t="str">
        <x:v>Member Success Specialist</x:v>
      </x:c>
      <x:c r="F28" s="38" t="str">
        <x:v>English customer success</x:v>
      </x:c>
      <x:c r="G28" s="38" t="n">
        <x:v>3</x:v>
      </x:c>
      <x:c r="H28" s="38" t="str">
        <x:v>Cannot verify: no employer data on acceptance rates</x:v>
      </x:c>
      <x:c r="I28" s="38" t="str">
        <x:v>LinkedIn advertises Tunis remote; geography/pay mismatch warning</x:v>
      </x:c>
      <x:c r="J28" s="38" t="str">
        <x:v>TUNIS LINKEDIN LABEL BUT PAY/LOCATION MISALIGNMENT</x:v>
      </x:c>
      <x:c r="K28" s="38" t="str">
        <x:v>JOB BOARD | employment region mismatch</x:v>
      </x:c>
      <x:c r="L28" s="38" t="str">
        <x:v>English</x:v>
      </x:c>
      <x:c r="M28" s="38" t="str">
        <x:v>No French threshold stated</x:v>
      </x:c>
      <x:c r="N28" s="38" t="str">
        <x:v>Not specified</x:v>
      </x:c>
      <x:c r="O28" s="38" t="str">
        <x:v>Support account members, answer inquiries and guide platform use.</x:v>
      </x:c>
      <x:c r="P28" s="38" t="str">
        <x:v>2+ years support, tech tools and professional written English.</x:v>
      </x:c>
      <x:c r="Q28" s="38" t="str">
        <x:v>C1 English, support work, hardware/technical familiarity.</x:v>
      </x:c>
      <x:c r="R28" s="38" t="str">
        <x:v>Pay listed in KES on an unrelated market; Tunisian contract unconfirmed.</x:v>
      </x:c>
      <x:c r="S28" s="38" t="str">
        <x:v>Unconfirmed</x:v>
      </x:c>
      <x:c r="T28" s="38" t="str">
        <x:v>Not disclosed</x:v>
      </x:c>
      <x:c r="U28" s="38" t="str">
        <x:v>Salary not usable: KES 103k–155k/month shown on external listing (market mismatch)</x:v>
      </x:c>
      <x:c r="V28" s="38" t="str">
        <x:v>Geographically inconsistent, do not treat as Tunisia pay.</x:v>
      </x:c>
      <x:c r="W28" s="38"/>
      <x:c r="X28" s="39" t="str">
        <x:f>IF(W28="","",(W28-$B$5)/$B$5)</x:f>
      </x:c>
      <x:c r="Y28" s="38" t="str">
        <x:v>Official employer posting</x:v>
      </x:c>
      <x:c r="Z28" s="38" t="str">
        <x:v>https://tn.linkedin.com/jobs/view/member-success-specialist-at-hlth-4480508781</x:v>
      </x:c>
      <x:c r="AA28" s="38" t="str"/>
      <x:c r="AB28" s="38" t="str">
        <x:v>Verify employer identity, market, and payroll first.</x:v>
      </x:c>
      <x:c r="AC28" s="38" t="str">
        <x:v>Watch only</x:v>
      </x:c>
      <x:c r="AD28" s="38"/>
      <x:c r="AE28" s="38"/>
      <x:c r="AF28" s="38" t="str">
        <x:v>2026-10-20</x:v>
      </x:c>
      <x:c r="AG28" s="38" t="str"/>
      <x:c r="AH28" s="38" t="str">
        <x:v>Watch / not active</x:v>
      </x:c>
    </x:row>
    <x:row r="29" ht="62" customHeight="1">
      <x:c r="A29" s="42" t="n">
        <x:v>19</x:v>
      </x:c>
      <x:c r="B29" s="42" t="str">
        <x:v>D VERIFY</x:v>
      </x:c>
      <x:c r="C29" s="38" t="str">
        <x:v>Verify residency &amp; status</x:v>
      </x:c>
      <x:c r="D29" s="38" t="str">
        <x:v>Promenade (BloomNation)</x:v>
      </x:c>
      <x:c r="E29" s="38" t="str">
        <x:v>Customer Success Associate</x:v>
      </x:c>
      <x:c r="F29" s="38" t="str">
        <x:v>Customer operations and retention</x:v>
      </x:c>
      <x:c r="G29" s="38" t="n">
        <x:v>3</x:v>
      </x:c>
      <x:c r="H29" s="38" t="str">
        <x:v>Cannot verify: no employer data on acceptance rates</x:v>
      </x:c>
      <x:c r="I29" s="38" t="str">
        <x:v>Remote; country not specified</x:v>
      </x:c>
      <x:c r="J29" s="38" t="str">
        <x:v>TUNISIA NOT CONFIRMED</x:v>
      </x:c>
      <x:c r="K29" s="38" t="str">
        <x:v>OFFICIAL careers directory; eligibility unclear</x:v>
      </x:c>
      <x:c r="L29" s="38" t="str">
        <x:v>English</x:v>
      </x:c>
      <x:c r="M29" s="38" t="str">
        <x:v>No French threshold stated</x:v>
      </x:c>
      <x:c r="N29" s="38" t="str">
        <x:v>Not specified</x:v>
      </x:c>
      <x:c r="O29" s="38" t="str">
        <x:v>Post-sale customer care, account guidance and retention support.</x:v>
      </x:c>
      <x:c r="P29" s="38" t="str">
        <x:v>Written communication, platform learning, organized follow-through.</x:v>
      </x:c>
      <x:c r="Q29" s="38" t="str">
        <x:v>English C1 and customer-facing support.</x:v>
      </x:c>
      <x:c r="R29" s="38" t="str">
        <x:v>May need US-based availability or customer success record.</x:v>
      </x:c>
      <x:c r="S29" s="38" t="str">
        <x:v>Unconfirmed</x:v>
      </x:c>
      <x:c r="T29" s="38" t="str">
        <x:v>Not disclosed</x:v>
      </x:c>
      <x:c r="U29" s="38" t="str">
        <x:v>NOT DISCLOSED</x:v>
      </x:c>
      <x:c r="V29" s="38" t="str">
        <x:v>No figure stated by employer</x:v>
      </x:c>
      <x:c r="W29" s="38"/>
      <x:c r="X29" s="39" t="str">
        <x:f>IF(W29="","",(W29-$B$5)/$B$5)</x:f>
      </x:c>
      <x:c r="Y29" s="38" t="str">
        <x:v>Official employer posting</x:v>
      </x:c>
      <x:c r="Z29" s="38" t="str">
        <x:v>https://jobs.lever.co/promenade?workplaceType=remote</x:v>
      </x:c>
      <x:c r="AA29" s="38" t="str"/>
      <x:c r="AB29" s="38" t="str">
        <x:v>Open the specific job and verify eligible country list.</x:v>
      </x:c>
      <x:c r="AC29" s="38" t="str">
        <x:v>Watch only</x:v>
      </x:c>
      <x:c r="AD29" s="38"/>
      <x:c r="AE29" s="38"/>
      <x:c r="AF29" s="38" t="str">
        <x:v>2026-10-20</x:v>
      </x:c>
      <x:c r="AG29" s="38" t="str">
        <x:v>Careers index rather than stable individual application link.</x:v>
      </x:c>
      <x:c r="AH29" s="38" t="str">
        <x:v>Watch / not active</x:v>
      </x:c>
    </x:row>
    <x:row r="30" ht="62" customHeight="1">
      <x:c r="A30" s="42" t="n">
        <x:v>20</x:v>
      </x:c>
      <x:c r="B30" s="42" t="str">
        <x:v>D VERIFY</x:v>
      </x:c>
      <x:c r="C30" s="38" t="str">
        <x:v>Verify residency &amp; status</x:v>
      </x:c>
      <x:c r="D30" s="38" t="str">
        <x:v>Regnology</x:v>
      </x:c>
      <x:c r="E30" s="38" t="str">
        <x:v>First Level Product &amp; Technical Support Specialist</x:v>
      </x:c>
      <x:c r="F30" s="38" t="str">
        <x:v>Software helpdesk / regulatory fintech</x:v>
      </x:c>
      <x:c r="G30" s="38" t="n">
        <x:v>3</x:v>
      </x:c>
      <x:c r="H30" s="38" t="str">
        <x:v>Cannot verify: no employer data on acceptance rates</x:v>
      </x:c>
      <x:c r="I30" s="38" t="str">
        <x:v>Tunis first-level software support; REMOTE status not proved</x:v>
      </x:c>
      <x:c r="J30" s="38" t="str">
        <x:v>TUNIS LOCATION; WORK-FROM-HOME NOT VERIFIED</x:v>
      </x:c>
      <x:c r="K30" s="38" t="str">
        <x:v>THIRD-PARTY ONLY | remote assertion unreliable</x:v>
      </x:c>
      <x:c r="L30" s="38" t="str">
        <x:v>English (check other languages)</x:v>
      </x:c>
      <x:c r="M30" s="38" t="str">
        <x:v>No French threshold stated</x:v>
      </x:c>
      <x:c r="N30" s="38" t="str">
        <x:v>Not specified</x:v>
      </x:c>
      <x:c r="O30" s="38" t="str">
        <x:v>Triage support tickets for regulatory-reporting software; improve customer resolutions.</x:v>
      </x:c>
      <x:c r="P30" s="38" t="str">
        <x:v>Troubleshooting, ticket queue ownership, SaaS/software training, customer empathy.</x:v>
      </x:c>
      <x:c r="Q30" s="38" t="str">
        <x:v>C1 English, support experience, structured technical troubleshooting.</x:v>
      </x:c>
      <x:c r="R30" s="38" t="str">
        <x:v>Remote/hybrid/on-site status unclear; source is repost, not job application.</x:v>
      </x:c>
      <x:c r="S30" s="38" t="str">
        <x:v>Unconfirmed</x:v>
      </x:c>
      <x:c r="T30" s="38" t="str">
        <x:v>Not disclosed</x:v>
      </x:c>
      <x:c r="U30" s="38" t="str">
        <x:v>NOT DISCLOSED</x:v>
      </x:c>
      <x:c r="V30" s="38" t="str">
        <x:v>No figure stated by employer</x:v>
      </x:c>
      <x:c r="W30" s="38"/>
      <x:c r="X30" s="39" t="str">
        <x:f>IF(W30="","",(W30-$B$5)/$B$5)</x:f>
      </x:c>
      <x:c r="Y30" s="38" t="str">
        <x:v>Unverified aggregator</x:v>
      </x:c>
      <x:c r="Z30" s="38" t="str">
        <x:v>https://workfromremote.site/job/technical-customer-support-specialist-29</x:v>
      </x:c>
      <x:c r="AA30" s="38" t="str">
        <x:v>https://www.regnology.net/careers/</x:v>
      </x:c>
      <x:c r="AB30" s="38" t="str">
        <x:v>Locate employer role and demand a written remote-from-Tunisia confirmation.</x:v>
      </x:c>
      <x:c r="AC30" s="38" t="str">
        <x:v>Watch only</x:v>
      </x:c>
      <x:c r="AD30" s="38"/>
      <x:c r="AE30" s="38"/>
      <x:c r="AF30" s="38" t="str">
        <x:v>2026-10-20</x:v>
      </x:c>
      <x:c r="AG30" s="38" t="str"/>
      <x:c r="AH30" s="38" t="str">
        <x:v>Watch / not active</x:v>
      </x:c>
    </x:row>
    <x:row r="31" ht="62" customHeight="1">
      <x:c r="A31" s="42" t="n">
        <x:v>21</x:v>
      </x:c>
      <x:c r="B31" s="42" t="str">
        <x:v>D VERIFY</x:v>
      </x:c>
      <x:c r="C31" s="38" t="str">
        <x:v>Verify residency &amp; status</x:v>
      </x:c>
      <x:c r="D31" s="38" t="str">
        <x:v>Tithe.ly</x:v>
      </x:c>
      <x:c r="E31" s="38" t="str">
        <x:v>Customer Support Advocate — ongoing talent pool</x:v>
      </x:c>
      <x:c r="F31" s="38" t="str">
        <x:v>English SaaS support</x:v>
      </x:c>
      <x:c r="G31" s="38" t="n">
        <x:v>3</x:v>
      </x:c>
      <x:c r="H31" s="38" t="str">
        <x:v>Cannot verify: no employer data on acceptance rates</x:v>
      </x:c>
      <x:c r="I31" s="38" t="str">
        <x:v>Third-party advert claims Tunisia and US, inconsistent</x:v>
      </x:c>
      <x:c r="J31" s="38" t="str">
        <x:v>TUNISIA CLAIM ONLY ON THIRD-PARTY AGGREGATOR</x:v>
      </x:c>
      <x:c r="K31" s="38" t="str">
        <x:v>ONGOING TALENT POOL; no immediate vacancy assurance</x:v>
      </x:c>
      <x:c r="L31" s="38" t="str">
        <x:v>English</x:v>
      </x:c>
      <x:c r="M31" s="38" t="str">
        <x:v>No French threshold stated</x:v>
      </x:c>
      <x:c r="N31" s="38" t="str">
        <x:v>Not specified</x:v>
      </x:c>
      <x:c r="O31" s="38" t="str">
        <x:v>Answer SaaS support questions for church-management tools and resolve issues.</x:v>
      </x:c>
      <x:c r="P31" s="38" t="str">
        <x:v>Empathy, product knowledge, troubleshooting and documentation.</x:v>
      </x:c>
      <x:c r="Q31" s="38" t="str">
        <x:v>C1 English, support, SaaS adaptability.</x:v>
      </x:c>
      <x:c r="R31" s="38" t="str">
        <x:v>Original employer geographic scope and whether a concrete headcount exists unknown.</x:v>
      </x:c>
      <x:c r="S31" s="38" t="str">
        <x:v>Unconfirmed</x:v>
      </x:c>
      <x:c r="T31" s="38" t="str">
        <x:v>Not disclosed</x:v>
      </x:c>
      <x:c r="U31" s="38" t="str">
        <x:v>NOT DISCLOSED</x:v>
      </x:c>
      <x:c r="V31" s="38" t="str">
        <x:v>No figure stated by employer</x:v>
      </x:c>
      <x:c r="W31" s="38"/>
      <x:c r="X31" s="39" t="str">
        <x:f>IF(W31="","",(W31-$B$5)/$B$5)</x:f>
      </x:c>
      <x:c r="Y31" s="38" t="str">
        <x:v>Third-party aggregator</x:v>
      </x:c>
      <x:c r="Z31" s="38" t="str">
        <x:v>https://workfromremote.site/job/customer-support-advocate-ongoing-remote-2</x:v>
      </x:c>
      <x:c r="AA31" s="38" t="str"/>
      <x:c r="AB31" s="38" t="str">
        <x:v>Locate employer current careers page and confirm location; treat as speculative.</x:v>
      </x:c>
      <x:c r="AC31" s="38" t="str">
        <x:v>Watch only</x:v>
      </x:c>
      <x:c r="AD31" s="38"/>
      <x:c r="AE31" s="38"/>
      <x:c r="AF31" s="38" t="str">
        <x:v>2026-10-20</x:v>
      </x:c>
      <x:c r="AG31" s="38" t="str"/>
      <x:c r="AH31" s="38" t="str">
        <x:v>Watch / not active</x:v>
      </x:c>
    </x:row>
    <x:row r="32" ht="62" customHeight="1">
      <x:c r="A32" s="42" t="n">
        <x:v>22</x:v>
      </x:c>
      <x:c r="B32" s="42" t="str">
        <x:v>W CLOSED</x:v>
      </x:c>
      <x:c r="C32" s="38" t="str">
        <x:v>Watch only; not a live application</x:v>
      </x:c>
      <x:c r="D32" s="38" t="str">
        <x:v>Azurreo</x:v>
      </x:c>
      <x:c r="E32" s="38" t="str">
        <x:v>Customer Support Coordinator</x:v>
      </x:c>
      <x:c r="F32" s="38" t="str">
        <x:v>Technical email/website support</x:v>
      </x:c>
      <x:c r="G32" s="38" t="n">
        <x:v>4</x:v>
      </x:c>
      <x:c r="H32" s="38" t="str">
        <x:v>Cannot verify: no employer data on acceptance rates</x:v>
      </x:c>
      <x:c r="I32" s="38" t="str">
        <x:v>Previously remote Tunis</x:v>
      </x:c>
      <x:c r="J32" s="38" t="str">
        <x:v>HISTORIC REMOTE TUNISIA; CLOSED</x:v>
      </x:c>
      <x:c r="K32" s="38" t="str">
        <x:v>CLOSED | LinkedIn listing</x:v>
      </x:c>
      <x:c r="L32" s="38" t="str">
        <x:v>English; French useful</x:v>
      </x:c>
      <x:c r="M32" s="38" t="str">
        <x:v>B2 may be assessed / confirm</x:v>
      </x:c>
      <x:c r="N32" s="38" t="str">
        <x:v>Not specified</x:v>
      </x:c>
      <x:c r="O32" s="38" t="str">
        <x:v>Resolve customer technical tickets for web/email/FTP/SSL and CRM.</x:v>
      </x:c>
      <x:c r="P32" s="38" t="str">
        <x:v>Some IT/helpdesk background and communication.</x:v>
      </x:c>
      <x:c r="Q32" s="38" t="str">
        <x:v>Linux, troubleshooting and support.</x:v>
      </x:c>
      <x:c r="R32" s="38" t="str">
        <x:v>Historic listing closed.</x:v>
      </x:c>
      <x:c r="S32" s="38" t="str">
        <x:v>Unconfirmed</x:v>
      </x:c>
      <x:c r="T32" s="38" t="str">
        <x:v>Not disclosed</x:v>
      </x:c>
      <x:c r="U32" s="38" t="str">
        <x:v>NOT DISCLOSED</x:v>
      </x:c>
      <x:c r="V32" s="38" t="str">
        <x:v>No figure stated by employer</x:v>
      </x:c>
      <x:c r="W32" s="38"/>
      <x:c r="X32" s="39" t="str">
        <x:f>IF(W32="","",(W32-$B$5)/$B$5)</x:f>
      </x:c>
      <x:c r="Y32" s="38" t="str">
        <x:v>Official employer posting</x:v>
      </x:c>
      <x:c r="Z32" s="38" t="str">
        <x:v>https://tn.linkedin.com/jobs/view/customer-support-coordinator-at-azurreo-4261138728</x:v>
      </x:c>
      <x:c r="AA32" s="38" t="str"/>
      <x:c r="AB32" s="38" t="str">
        <x:v>Watch for updated direct Azurreo post.</x:v>
      </x:c>
      <x:c r="AC32" s="38" t="str">
        <x:v>Watch only</x:v>
      </x:c>
      <x:c r="AD32" s="38"/>
      <x:c r="AE32" s="38"/>
      <x:c r="AF32" s="38" t="str">
        <x:v>2026-10-20</x:v>
      </x:c>
      <x:c r="AG32" s="38" t="str"/>
      <x:c r="AH32" s="38" t="str">
        <x:v>Watch / not active</x:v>
      </x:c>
    </x:row>
    <x:row r="33" ht="62" customHeight="1">
      <x:c r="A33" s="42" t="n">
        <x:v>23</x:v>
      </x:c>
      <x:c r="B33" s="42" t="str">
        <x:v>W CLOSED</x:v>
      </x:c>
      <x:c r="C33" s="38" t="str">
        <x:v>Watch only; not a live application</x:v>
      </x:c>
      <x:c r="D33" s="38" t="str">
        <x:v>Cimpress Technology</x:v>
      </x:c>
      <x:c r="E33" s="38" t="str">
        <x:v>Technical Support Engineer I — Tunis</x:v>
      </x:c>
      <x:c r="F33" s="38" t="str">
        <x:v>English SaaS first-level tech support</x:v>
      </x:c>
      <x:c r="G33" s="38" t="n">
        <x:v>4</x:v>
      </x:c>
      <x:c r="H33" s="38" t="str">
        <x:v>Cannot verify: no employer data on acceptance rates</x:v>
      </x:c>
      <x:c r="I33" s="38" t="str">
        <x:v>Tunis remote historic listing</x:v>
      </x:c>
      <x:c r="J33" s="38" t="str">
        <x:v>TUNIS PREVIOUSLY EXPLICIT; CLOSED</x:v>
      </x:c>
      <x:c r="K33" s="38" t="str">
        <x:v>CLOSED | LinkedIn no longer accepting</x:v>
      </x:c>
      <x:c r="L33" s="38" t="str">
        <x:v>English / tech communications</x:v>
      </x:c>
      <x:c r="M33" s="38" t="str">
        <x:v>No French threshold stated</x:v>
      </x:c>
      <x:c r="N33" s="38" t="str">
        <x:v>Not specified</x:v>
      </x:c>
      <x:c r="O33" s="38" t="str">
        <x:v>First-line Jira/ticket support; review logs and dashboards and escalate issues.</x:v>
      </x:c>
      <x:c r="P33" s="38" t="str">
        <x:v>Technical troubleshooting, browser DevTools, Jira/Confluence, SLAs.</x:v>
      </x:c>
      <x:c r="Q33" s="38" t="str">
        <x:v>Support and Linux log reading, great bridge toward engineering.</x:v>
      </x:c>
      <x:c r="R33" s="38" t="str">
        <x:v>No live vacancy; late Tunisia shifts.</x:v>
      </x:c>
      <x:c r="S33" s="38" t="str">
        <x:v>Unconfirmed</x:v>
      </x:c>
      <x:c r="T33" s="38" t="str">
        <x:v>Historical: 12:00–21:00 or 16:00–01:00 CET</x:v>
      </x:c>
      <x:c r="U33" s="38" t="str">
        <x:v>NOT DISCLOSED</x:v>
      </x:c>
      <x:c r="V33" s="38" t="str">
        <x:v>No figure stated by employer</x:v>
      </x:c>
      <x:c r="W33" s="38"/>
      <x:c r="X33" s="39" t="str">
        <x:f>IF(W33="","",(W33-$B$5)/$B$5)</x:f>
      </x:c>
      <x:c r="Y33" s="38" t="str">
        <x:v>Official employer posting</x:v>
      </x:c>
      <x:c r="Z33" s="38" t="str">
        <x:v>https://tn.linkedin.com/jobs/view/technical-support-engineer-i-tunis-remote-at-cimpress-technology-4278967193</x:v>
      </x:c>
      <x:c r="AA33" s="38" t="str"/>
      <x:c r="AB33" s="38" t="str">
        <x:v>Watch Cimpress careers for the next Tunis tech-support cohort.</x:v>
      </x:c>
      <x:c r="AC33" s="38" t="str">
        <x:v>Watch only</x:v>
      </x:c>
      <x:c r="AD33" s="38"/>
      <x:c r="AE33" s="38"/>
      <x:c r="AF33" s="38" t="str">
        <x:v>2026-10-20</x:v>
      </x:c>
      <x:c r="AG33" s="38" t="str"/>
      <x:c r="AH33" s="38" t="str">
        <x:v>Watch / not active</x:v>
      </x:c>
    </x:row>
    <x:row r="34" ht="62" customHeight="1">
      <x:c r="A34" s="42" t="n">
        <x:v>24</x:v>
      </x:c>
      <x:c r="B34" s="42" t="str">
        <x:v>W CLOSED</x:v>
      </x:c>
      <x:c r="C34" s="38" t="str">
        <x:v>Watch only; not a live application</x:v>
      </x:c>
      <x:c r="D34" s="38" t="str">
        <x:v>HireAfrica</x:v>
      </x:c>
      <x:c r="E34" s="38" t="str">
        <x:v>Customer Service &amp; Order Support Agent — French/English</x:v>
      </x:c>
      <x:c r="F34" s="38" t="str">
        <x:v>Ecommerce order support</x:v>
      </x:c>
      <x:c r="G34" s="38" t="n">
        <x:v>4</x:v>
      </x:c>
      <x:c r="H34" s="38" t="str">
        <x:v>Cannot verify: no employer data on acceptance rates</x:v>
      </x:c>
      <x:c r="I34" s="38" t="str">
        <x:v>Morocco/Tunisia remote in historical ad</x:v>
      </x:c>
      <x:c r="J34" s="38" t="str">
        <x:v>HISTORICALLY TUNISIA ELIGIBLE; CLOSED</x:v>
      </x:c>
      <x:c r="K34" s="38" t="str">
        <x:v>CLOSED | LinkedIn not accepting</x:v>
      </x:c>
      <x:c r="L34" s="38" t="str">
        <x:v>Fluent French and English (CEFR not listed)</x:v>
      </x:c>
      <x:c r="M34" s="38" t="str">
        <x:v>B2 may be assessed / confirm</x:v>
      </x:c>
      <x:c r="N34" s="38" t="str">
        <x:v>Not specified</x:v>
      </x:c>
      <x:c r="O34" s="38" t="str">
        <x:v>Order assistance, complaint escalation, client care; some nights/weekends US ET.</x:v>
      </x:c>
      <x:c r="P34" s="38" t="str">
        <x:v>Customer-service experience is a plus, flexible schedule and internet.</x:v>
      </x:c>
      <x:c r="Q34" s="38" t="str">
        <x:v>C1 English, B2 French and strong support fit.</x:v>
      </x:c>
      <x:c r="R34" s="38" t="str">
        <x:v>Listing closed, no current employer posting confirmed.</x:v>
      </x:c>
      <x:c r="S34" s="38" t="str">
        <x:v>Unconfirmed</x:v>
      </x:c>
      <x:c r="T34" s="38" t="str">
        <x:v>Not disclosed</x:v>
      </x:c>
      <x:c r="U34" s="38" t="str">
        <x:v>NOT DISCLOSED</x:v>
      </x:c>
      <x:c r="V34" s="38" t="str">
        <x:v>No figure stated by employer</x:v>
      </x:c>
      <x:c r="W34" s="38"/>
      <x:c r="X34" s="39" t="str">
        <x:f>IF(W34="","",(W34-$B$5)/$B$5)</x:f>
      </x:c>
      <x:c r="Y34" s="38" t="str">
        <x:v>Official employer posting</x:v>
      </x:c>
      <x:c r="Z34" s="38" t="str">
        <x:v>https://tn.linkedin.com/jobs/view/customer-service-order-support-agent-remote-%E2%80%93-french-english-at-hireafrica-4336677756</x:v>
      </x:c>
      <x:c r="AA34" s="38" t="str">
        <x:v>https://tn.linkedin.com/jobs/view/customer-service-order-support-agent-remote-%E2%80%93-french-english-at-hireafrica-4223102291</x:v>
      </x:c>
      <x:c r="AB34" s="38" t="str">
        <x:v>Follow recruiter for new Tunisia-specific openings.</x:v>
      </x:c>
      <x:c r="AC34" s="38" t="str">
        <x:v>Watch only</x:v>
      </x:c>
      <x:c r="AD34" s="38"/>
      <x:c r="AE34" s="38"/>
      <x:c r="AF34" s="38" t="str">
        <x:v>2026-10-20</x:v>
      </x:c>
      <x:c r="AG34" s="38" t="str"/>
      <x:c r="AH34" s="38" t="str">
        <x:v>Watch / not active</x:v>
      </x:c>
    </x:row>
    <x:row r="35" ht="62" customHeight="1">
      <x:c r="A35" s="42" t="n">
        <x:v>25</x:v>
      </x:c>
      <x:c r="B35" s="42" t="str">
        <x:v>W CLOSED</x:v>
      </x:c>
      <x:c r="C35" s="38" t="str">
        <x:v>Watch only; not a live application</x:v>
      </x:c>
      <x:c r="D35" s="38" t="str">
        <x:v>Keycafe</x:v>
      </x:c>
      <x:c r="E35" s="38" t="str">
        <x:v>Customer Service Representative — French/English (IoT)</x:v>
      </x:c>
      <x:c r="F35" s="38" t="str">
        <x:v>IoT hardware + software customer support</x:v>
      </x:c>
      <x:c r="G35" s="38" t="n">
        <x:v>4</x:v>
      </x:c>
      <x:c r="H35" s="38" t="str">
        <x:v>Cannot verify: no employer data on acceptance rates</x:v>
      </x:c>
      <x:c r="I35" s="38" t="str">
        <x:v>Tunisia / Morocco / Senegal remote in historic posting</x:v>
      </x:c>
      <x:c r="J35" s="38" t="str">
        <x:v>HISTORIC TUNISIA ELIGIBILITY; VACANCY CLOSED</x:v>
      </x:c>
      <x:c r="K35" s="38" t="str">
        <x:v>CLOSED | historic listing</x:v>
      </x:c>
      <x:c r="L35" s="38" t="str">
        <x:v>Strong English and French</x:v>
      </x:c>
      <x:c r="M35" s="38" t="str">
        <x:v>B2 may be assessed / confirm</x:v>
      </x:c>
      <x:c r="N35" s="38" t="str">
        <x:v>Not specified</x:v>
      </x:c>
      <x:c r="O35" s="38" t="str">
        <x:v>Help clients configure smart key boxes; solve hardware/software issues by email/chat/phone.</x:v>
      </x:c>
      <x:c r="P35" s="38" t="str">
        <x:v>Support and technical hardware experience, bilingual communication; IoT familiarity.</x:v>
      </x:c>
      <x:c r="Q35" s="38" t="str">
        <x:v>Particularly strong IoT/electronics background match; C1 English.</x:v>
      </x:c>
      <x:c r="R35" s="38" t="str">
        <x:v>Vacancy is closed; French assessment could be demanding.</x:v>
      </x:c>
      <x:c r="S35" s="38" t="str">
        <x:v>Full-time (historic)</x:v>
      </x:c>
      <x:c r="T35" s="38" t="str">
        <x:v>Not disclosed</x:v>
      </x:c>
      <x:c r="U35" s="38" t="str">
        <x:v>HISTORICAL employer-posted €11,000–13,000/year</x:v>
      </x:c>
      <x:c r="V35" s="38" t="str">
        <x:v>Employer-reported on CLOSED LinkedIn posting only. NOT a current offer / not converted to TND.</x:v>
      </x:c>
      <x:c r="W35" s="38"/>
      <x:c r="X35" s="39" t="str">
        <x:f>IF(W35="","",(W35-$B$5)/$B$5)</x:f>
      </x:c>
      <x:c r="Y35" s="38" t="str">
        <x:v>Historical employer posting on LinkedIn</x:v>
      </x:c>
      <x:c r="Z35" s="38" t="str">
        <x:v>https://tn.linkedin.com/jobs/view/customer-service-representative-french-english-tech-remote-at-keycafe-4314867631</x:v>
      </x:c>
      <x:c r="AA35" s="38" t="str"/>
      <x:c r="AB35" s="38" t="str">
        <x:v>Watch Keycafe careers for the next opening; do not apply through closed link.</x:v>
      </x:c>
      <x:c r="AC35" s="38" t="str">
        <x:v>Watch only</x:v>
      </x:c>
      <x:c r="AD35" s="38"/>
      <x:c r="AE35" s="38"/>
      <x:c r="AF35" s="38" t="str">
        <x:v>2026-10-20</x:v>
      </x:c>
      <x:c r="AG35" s="38" t="str"/>
      <x:c r="AH35" s="38" t="str">
        <x:v>Watch / not active</x:v>
      </x:c>
    </x:row>
    <x:row r="36" ht="62" customHeight="1">
      <x:c r="A36" s="42" t="n">
        <x:v>26</x:v>
      </x:c>
      <x:c r="B36" s="42" t="str">
        <x:v>W CLOSED</x:v>
      </x:c>
      <x:c r="C36" s="38" t="str">
        <x:v>Watch only; not a live application</x:v>
      </x:c>
      <x:c r="D36" s="38" t="str">
        <x:v>SupportYourApp</x:v>
      </x:c>
      <x:c r="E36" s="38" t="str">
        <x:v>Customer Support Consultant — English C1 archived A</x:v>
      </x:c>
      <x:c r="F36" s="38" t="str">
        <x:v>English chat / email support</x:v>
      </x:c>
      <x:c r="G36" s="38" t="n">
        <x:v>4</x:v>
      </x:c>
      <x:c r="H36" s="38" t="str">
        <x:v>Cannot verify: no employer data on acceptance rates</x:v>
      </x:c>
      <x:c r="I36" s="38" t="str">
        <x:v>Tunis remote</x:v>
      </x:c>
      <x:c r="J36" s="38" t="str">
        <x:v>TUNIS HISTORICALLY ELIGIBLE; CLOSED</x:v>
      </x:c>
      <x:c r="K36" s="38" t="str">
        <x:v>CLOSED | no longer accepting</x:v>
      </x:c>
      <x:c r="L36" s="38" t="str">
        <x:v>English C1</x:v>
      </x:c>
      <x:c r="M36" s="38" t="str">
        <x:v>No French threshold stated</x:v>
      </x:c>
      <x:c r="N36" s="38" t="str">
        <x:v>Not specified</x:v>
      </x:c>
      <x:c r="O36" s="38" t="str">
        <x:v>General software/platform support with ticket escalation.</x:v>
      </x:c>
      <x:c r="P36" s="38" t="str">
        <x:v>English C1, general customer service experience.</x:v>
      </x:c>
      <x:c r="Q36" s="38" t="str">
        <x:v>English C1 and support profile.</x:v>
      </x:c>
      <x:c r="R36" s="38" t="str">
        <x:v>No active requisition on this URL.</x:v>
      </x:c>
      <x:c r="S36" s="38" t="str">
        <x:v>Unconfirmed</x:v>
      </x:c>
      <x:c r="T36" s="38" t="str">
        <x:v>Not disclosed</x:v>
      </x:c>
      <x:c r="U36" s="38" t="str">
        <x:v>NOT DISCLOSED</x:v>
      </x:c>
      <x:c r="V36" s="38" t="str">
        <x:v>No figure stated by employer</x:v>
      </x:c>
      <x:c r="W36" s="38"/>
      <x:c r="X36" s="39" t="str">
        <x:f>IF(W36="","",(W36-$B$5)/$B$5)</x:f>
      </x:c>
      <x:c r="Y36" s="38" t="str">
        <x:v>Official employer posting</x:v>
      </x:c>
      <x:c r="Z36" s="38" t="str">
        <x:v>https://tn.linkedin.com/jobs/view/english-c1-customer-support-consultant-remote-at-supportyourapp-4470914183</x:v>
      </x:c>
      <x:c r="AA36" s="38" t="str"/>
      <x:c r="AB36" s="38" t="str">
        <x:v>Use official SupportYourApp careers site or current recent listing instead.</x:v>
      </x:c>
      <x:c r="AC36" s="38" t="str">
        <x:v>Watch only</x:v>
      </x:c>
      <x:c r="AD36" s="38"/>
      <x:c r="AE36" s="38"/>
      <x:c r="AF36" s="38" t="str">
        <x:v>2026-10-20</x:v>
      </x:c>
      <x:c r="AG36" s="38" t="str"/>
      <x:c r="AH36" s="38" t="str">
        <x:v>Watch / not active</x:v>
      </x:c>
    </x:row>
    <x:row r="37" ht="62" customHeight="1">
      <x:c r="A37" s="42" t="n">
        <x:v>27</x:v>
      </x:c>
      <x:c r="B37" s="42" t="str">
        <x:v>W CLOSED</x:v>
      </x:c>
      <x:c r="C37" s="38" t="str">
        <x:v>Watch only; not a live application</x:v>
      </x:c>
      <x:c r="D37" s="38" t="str">
        <x:v>SupportYourApp</x:v>
      </x:c>
      <x:c r="E37" s="38" t="str">
        <x:v>Customer Support Consultant — English C1 archived B</x:v>
      </x:c>
      <x:c r="F37" s="38" t="str">
        <x:v>English platform support</x:v>
      </x:c>
      <x:c r="G37" s="38" t="n">
        <x:v>4</x:v>
      </x:c>
      <x:c r="H37" s="38" t="str">
        <x:v>Cannot verify: no employer data on acceptance rates</x:v>
      </x:c>
      <x:c r="I37" s="38" t="str">
        <x:v>Tunis remote</x:v>
      </x:c>
      <x:c r="J37" s="38" t="str">
        <x:v>TUNIS HISTORICALLY ELIGIBLE; CLOSED</x:v>
      </x:c>
      <x:c r="K37" s="38" t="str">
        <x:v>CLOSED | no longer accepting</x:v>
      </x:c>
      <x:c r="L37" s="38" t="str">
        <x:v>English C1</x:v>
      </x:c>
      <x:c r="M37" s="38" t="str">
        <x:v>No French threshold stated</x:v>
      </x:c>
      <x:c r="N37" s="38" t="str">
        <x:v>Not specified</x:v>
      </x:c>
      <x:c r="O37" s="38" t="str">
        <x:v>General customer support via email and ticketing.</x:v>
      </x:c>
      <x:c r="P37" s="38" t="str">
        <x:v>Experience in customer service, fluent English.</x:v>
      </x:c>
      <x:c r="Q37" s="38" t="str">
        <x:v>Support history and C1 English.</x:v>
      </x:c>
      <x:c r="R37" s="38" t="str">
        <x:v>Job closed.</x:v>
      </x:c>
      <x:c r="S37" s="38" t="str">
        <x:v>Unconfirmed</x:v>
      </x:c>
      <x:c r="T37" s="38" t="str">
        <x:v>Not disclosed</x:v>
      </x:c>
      <x:c r="U37" s="38" t="str">
        <x:v>NOT DISCLOSED</x:v>
      </x:c>
      <x:c r="V37" s="38" t="str">
        <x:v>No figure stated by employer</x:v>
      </x:c>
      <x:c r="W37" s="38"/>
      <x:c r="X37" s="39" t="str">
        <x:f>IF(W37="","",(W37-$B$5)/$B$5)</x:f>
      </x:c>
      <x:c r="Y37" s="38" t="str">
        <x:v>Official employer posting</x:v>
      </x:c>
      <x:c r="Z37" s="38" t="str">
        <x:v>https://tn.linkedin.com/jobs/view/english-c1-customer-support-consultant-remote-at-supportyourapp-4456324399</x:v>
      </x:c>
      <x:c r="AA37" s="38" t="str"/>
      <x:c r="AB37" s="38" t="str">
        <x:v>Monitor official Workable careers, not this link.</x:v>
      </x:c>
      <x:c r="AC37" s="38" t="str">
        <x:v>Watch only</x:v>
      </x:c>
      <x:c r="AD37" s="38"/>
      <x:c r="AE37" s="38"/>
      <x:c r="AF37" s="38" t="str">
        <x:v>2026-10-20</x:v>
      </x:c>
      <x:c r="AG37" s="38" t="str"/>
      <x:c r="AH37" s="38" t="str">
        <x:v>Watch / not active</x:v>
      </x:c>
    </x:row>
    <x:row r="38" ht="62" customHeight="1">
      <x:c r="A38" s="42" t="n">
        <x:v>28</x:v>
      </x:c>
      <x:c r="B38" s="42" t="str">
        <x:v>W CLOSED</x:v>
      </x:c>
      <x:c r="C38" s="38" t="str">
        <x:v>Watch only; not a live application</x:v>
      </x:c>
      <x:c r="D38" s="38" t="str">
        <x:v>SupportYourApp</x:v>
      </x:c>
      <x:c r="E38" s="38" t="str">
        <x:v>Customer Support Consultant — English part-time weekends</x:v>
      </x:c>
      <x:c r="F38" s="38" t="str">
        <x:v>Part-time English chat support</x:v>
      </x:c>
      <x:c r="G38" s="38" t="n">
        <x:v>4</x:v>
      </x:c>
      <x:c r="H38" s="38" t="str">
        <x:v>Cannot verify: no employer data on acceptance rates</x:v>
      </x:c>
      <x:c r="I38" s="38" t="str">
        <x:v>Tunis remote historically</x:v>
      </x:c>
      <x:c r="J38" s="38" t="str">
        <x:v>HISTORIC TUNISIA; CLOSED</x:v>
      </x:c>
      <x:c r="K38" s="38" t="str">
        <x:v>CLOSED | no longer accepting</x:v>
      </x:c>
      <x:c r="L38" s="38" t="str">
        <x:v>English C1</x:v>
      </x:c>
      <x:c r="M38" s="38" t="str">
        <x:v>No French threshold stated</x:v>
      </x:c>
      <x:c r="N38" s="38" t="str">
        <x:v>Not specified</x:v>
      </x:c>
      <x:c r="O38" s="38" t="str">
        <x:v>Saturday/Sunday chat and email support for tech product clients.</x:v>
      </x:c>
      <x:c r="P38" s="38" t="str">
        <x:v>English C1, support exp &gt;=1yr, weekend Eastern hours.</x:v>
      </x:c>
      <x:c r="Q38" s="38" t="str">
        <x:v>English C1, prior support.</x:v>
      </x:c>
      <x:c r="R38" s="38" t="str">
        <x:v>Not open; part-time would not necessarily replace current income.</x:v>
      </x:c>
      <x:c r="S38" s="38" t="str">
        <x:v>Unconfirmed</x:v>
      </x:c>
      <x:c r="T38" s="38" t="str">
        <x:v>Sat/Sun 10–18 Eastern</x:v>
      </x:c>
      <x:c r="U38" s="38" t="str">
        <x:v>NOT DISCLOSED</x:v>
      </x:c>
      <x:c r="V38" s="38" t="str">
        <x:v>No figure stated by employer</x:v>
      </x:c>
      <x:c r="W38" s="38"/>
      <x:c r="X38" s="39" t="str">
        <x:f>IF(W38="","",(W38-$B$5)/$B$5)</x:f>
      </x:c>
      <x:c r="Y38" s="38" t="str">
        <x:v>Official employer posting</x:v>
      </x:c>
      <x:c r="Z38" s="38" t="str">
        <x:v>https://tn.linkedin.com/jobs/view/fluent-english-part-time-customer-support-consultant-remote-at-supportyourapp-4455296751</x:v>
      </x:c>
      <x:c r="AA38" s="38" t="str"/>
      <x:c r="AB38" s="38" t="str">
        <x:v>Watch for a new listing if pursuing extra income.</x:v>
      </x:c>
      <x:c r="AC38" s="38" t="str">
        <x:v>Watch only</x:v>
      </x:c>
      <x:c r="AD38" s="38"/>
      <x:c r="AE38" s="38"/>
      <x:c r="AF38" s="38" t="str">
        <x:v>2026-10-20</x:v>
      </x:c>
      <x:c r="AG38" s="38" t="str"/>
      <x:c r="AH38" s="38" t="str">
        <x:v>Watch / not active</x:v>
      </x:c>
    </x:row>
    <x:row r="39" ht="62" customHeight="1">
      <x:c r="A39" s="42" t="n">
        <x:v>29</x:v>
      </x:c>
      <x:c r="B39" s="42" t="str">
        <x:v>W CLOSED</x:v>
      </x:c>
      <x:c r="C39" s="38" t="str">
        <x:v>Watch only; not a live application</x:v>
      </x:c>
      <x:c r="D39" s="38" t="str">
        <x:v>The Flex</x:v>
      </x:c>
      <x:c r="E39" s="38" t="str">
        <x:v>Guest Experience Specialist — English-first</x:v>
      </x:c>
      <x:c r="F39" s="38" t="str">
        <x:v>Hospitality customer care</x:v>
      </x:c>
      <x:c r="G39" s="38" t="n">
        <x:v>4</x:v>
      </x:c>
      <x:c r="H39" s="38" t="str">
        <x:v>Cannot verify: no employer data on acceptance rates</x:v>
      </x:c>
      <x:c r="I39" s="38" t="str">
        <x:v>Previously remote Tunis</x:v>
      </x:c>
      <x:c r="J39" s="38" t="str">
        <x:v>HISTORIC TUNISIA OPENING CLOSED</x:v>
      </x:c>
      <x:c r="K39" s="38" t="str">
        <x:v>CLOSED | old LinkedIn vacancy</x:v>
      </x:c>
      <x:c r="L39" s="38" t="str">
        <x:v>English fluent, French useful</x:v>
      </x:c>
      <x:c r="M39" s="38" t="str">
        <x:v>B2 may be assessed / confirm</x:v>
      </x:c>
      <x:c r="N39" s="38" t="str">
        <x:v>Not specified</x:v>
      </x:c>
      <x:c r="O39" s="38" t="str">
        <x:v>Help guests with reservations, messages and support cases.</x:v>
      </x:c>
      <x:c r="P39" s="38" t="str">
        <x:v>Customer response, organizational skills, PMS and guest support.</x:v>
      </x:c>
      <x:c r="Q39" s="38" t="str">
        <x:v>C1 English, prior support.</x:v>
      </x:c>
      <x:c r="R39" s="38" t="str">
        <x:v>Old ad no longer accepting; switch to active French-speaking role instead.</x:v>
      </x:c>
      <x:c r="S39" s="38" t="str">
        <x:v>Unconfirmed</x:v>
      </x:c>
      <x:c r="T39" s="38" t="str">
        <x:v>Not disclosed</x:v>
      </x:c>
      <x:c r="U39" s="38" t="str">
        <x:v>NOT DISCLOSED</x:v>
      </x:c>
      <x:c r="V39" s="38" t="str">
        <x:v>No figure stated by employer</x:v>
      </x:c>
      <x:c r="W39" s="38"/>
      <x:c r="X39" s="39" t="str">
        <x:f>IF(W39="","",(W39-$B$5)/$B$5)</x:f>
      </x:c>
      <x:c r="Y39" s="38" t="str">
        <x:v>Official employer posting</x:v>
      </x:c>
      <x:c r="Z39" s="38" t="str">
        <x:v>https://tn.linkedin.com/jobs/view/guest-experience-specialist-remote-at-the-flex-4335849620</x:v>
      </x:c>
      <x:c r="AA39" s="38" t="str">
        <x:v>https://jobs.ashbyhq.com/the-flex/94afb895-95c7-4ca9-8aec-3f76a9b7ed48</x:v>
      </x:c>
      <x:c r="AB39" s="38" t="str">
        <x:v>Apply ACTIVE The Flex French-speaking opening instead.</x:v>
      </x:c>
      <x:c r="AC39" s="38" t="str">
        <x:v>Watch only</x:v>
      </x:c>
      <x:c r="AD39" s="38"/>
      <x:c r="AE39" s="38"/>
      <x:c r="AF39" s="38" t="str">
        <x:v>2026-10-20</x:v>
      </x:c>
      <x:c r="AG39" s="38" t="str"/>
      <x:c r="AH39" s="38" t="str">
        <x:v>Watch / not active</x:v>
      </x:c>
    </x:row>
    <x:row r="40" ht="62" customHeight="1">
      <x:c r="A40" s="42" t="n">
        <x:v>30</x:v>
      </x:c>
      <x:c r="B40" s="42" t="str">
        <x:v>W CLOSED</x:v>
      </x:c>
      <x:c r="C40" s="38" t="str">
        <x:v>Watch only; not a live application</x:v>
      </x:c>
      <x:c r="D40" s="38" t="str">
        <x:v>ennovationHUB</x:v>
      </x:c>
      <x:c r="E40" s="38" t="str">
        <x:v>Customer Service + Sales Representative (French &amp; English)</x:v>
      </x:c>
      <x:c r="F40" s="38" t="str">
        <x:v>Ecommerce after-sales and upsell</x:v>
      </x:c>
      <x:c r="G40" s="38" t="n">
        <x:v>3</x:v>
      </x:c>
      <x:c r="H40" s="38" t="str">
        <x:v>Cannot verify: no employer data on acceptance rates</x:v>
      </x:c>
      <x:c r="I40" s="38" t="str">
        <x:v>Previously Tunisa-specific remote</x:v>
      </x:c>
      <x:c r="J40" s="38" t="str">
        <x:v>HISTORICALLY REMOTE TUNISIA, NOW CLOSED</x:v>
      </x:c>
      <x:c r="K40" s="38" t="str">
        <x:v>CLOSED | archived posting</x:v>
      </x:c>
      <x:c r="L40" s="38" t="str">
        <x:v>French + English</x:v>
      </x:c>
      <x:c r="M40" s="38" t="str">
        <x:v>B2 may be assessed / confirm</x:v>
      </x:c>
      <x:c r="N40" s="38" t="str">
        <x:v>Not specified</x:v>
      </x:c>
      <x:c r="O40" s="38" t="str">
        <x:v>Chat/email/phone customer queries for home e-commerce shops and sales.</x:v>
      </x:c>
      <x:c r="P40" s="38" t="str">
        <x:v>Experience in customer care and comfort with sales opportunities.</x:v>
      </x:c>
      <x:c r="Q40" s="38" t="str">
        <x:v>English C1, French B2 and support.</x:v>
      </x:c>
      <x:c r="R40" s="38" t="str">
        <x:v>Old/closed; job emphasizes sales targets.</x:v>
      </x:c>
      <x:c r="S40" s="38" t="str">
        <x:v>Unconfirmed</x:v>
      </x:c>
      <x:c r="T40" s="38" t="str">
        <x:v>Not disclosed</x:v>
      </x:c>
      <x:c r="U40" s="38" t="str">
        <x:v>NOT DISCLOSED</x:v>
      </x:c>
      <x:c r="V40" s="38" t="str">
        <x:v>No figure stated by employer</x:v>
      </x:c>
      <x:c r="W40" s="38"/>
      <x:c r="X40" s="39" t="str">
        <x:f>IF(W40="","",(W40-$B$5)/$B$5)</x:f>
      </x:c>
      <x:c r="Y40" s="38" t="str">
        <x:v>Official employer posting</x:v>
      </x:c>
      <x:c r="Z40" s="38" t="str">
        <x:v>https://tn.linkedin.com/jobs/view/french-and-english-speaking-customer-service-and-sales-representative-tunisia-remote-at-ennovationhub-4182913340</x:v>
      </x:c>
      <x:c r="AA40" s="38" t="str"/>
      <x:c r="AB40" s="38" t="str">
        <x:v>Monitor company careers only; do not rely on this posting.</x:v>
      </x:c>
      <x:c r="AC40" s="38" t="str">
        <x:v>Watch only</x:v>
      </x:c>
      <x:c r="AD40" s="38"/>
      <x:c r="AE40" s="38"/>
      <x:c r="AF40" s="38" t="str">
        <x:v>2026-10-20</x:v>
      </x:c>
      <x:c r="AG40" s="38" t="str"/>
      <x:c r="AH40" s="38" t="str">
        <x:v>Watch / not active</x:v>
      </x:c>
    </x:row>
    <x:row r="41" ht="62" customHeight="1">
      <x:c r="A41" s="42" t="n">
        <x:v>31</x:v>
      </x:c>
      <x:c r="B41" s="42" t="str">
        <x:v>W CLOSED</x:v>
      </x:c>
      <x:c r="C41" s="38" t="str">
        <x:v>Watch only; not a live application</x:v>
      </x:c>
      <x:c r="D41" s="38" t="str">
        <x:v>TalentPop</x:v>
      </x:c>
      <x:c r="E41" s="38" t="str">
        <x:v>Virtual Customer Support Agent — French and English</x:v>
      </x:c>
      <x:c r="F41" s="38" t="str">
        <x:v>E-commerce live support</x:v>
      </x:c>
      <x:c r="G41" s="38" t="n">
        <x:v>2</x:v>
      </x:c>
      <x:c r="H41" s="38" t="str">
        <x:v>Cannot verify: no employer data on acceptance rates</x:v>
      </x:c>
      <x:c r="I41" s="38" t="str">
        <x:v>Tunisia remote historically</x:v>
      </x:c>
      <x:c r="J41" s="38" t="str">
        <x:v>HISTORIC TUNISIA; CLOSED AND LANGUAGE GAP</x:v>
      </x:c>
      <x:c r="K41" s="38" t="str">
        <x:v>CLOSED | LinkedIn</x:v>
      </x:c>
      <x:c r="L41" s="38" t="str">
        <x:v>French + English C1/C2</x:v>
      </x:c>
      <x:c r="M41" s="38" t="str">
        <x:v>B2 may be assessed / confirm</x:v>
      </x:c>
      <x:c r="N41" s="38" t="str">
        <x:v>Not specified</x:v>
      </x:c>
      <x:c r="O41" s="38" t="str">
        <x:v>Support ecommerce customers via chat/email and voice.</x:v>
      </x:c>
      <x:c r="P41" s="38" t="str">
        <x:v>Strong bilingual proficiency and remote work setup.</x:v>
      </x:c>
      <x:c r="Q41" s="38" t="str">
        <x:v>English C1, support; some French.</x:v>
      </x:c>
      <x:c r="R41" s="38" t="str">
        <x:v>Requires French above B2 and the vacancy is closed.</x:v>
      </x:c>
      <x:c r="S41" s="38" t="str">
        <x:v>Unconfirmed</x:v>
      </x:c>
      <x:c r="T41" s="38" t="str">
        <x:v>Not disclosed</x:v>
      </x:c>
      <x:c r="U41" s="38" t="str">
        <x:v>NOT DISCLOSED</x:v>
      </x:c>
      <x:c r="V41" s="38" t="str">
        <x:v>No figure stated by employer</x:v>
      </x:c>
      <x:c r="W41" s="38"/>
      <x:c r="X41" s="39" t="str">
        <x:f>IF(W41="","",(W41-$B$5)/$B$5)</x:f>
      </x:c>
      <x:c r="Y41" s="38" t="str">
        <x:v>Official employer posting</x:v>
      </x:c>
      <x:c r="Z41" s="38" t="str">
        <x:v>https://tn.linkedin.com/jobs/view/virtual-customer-support-agent-french-english-%E2%80%93-100%25-remote-at-talentpop-app-4432530425</x:v>
      </x:c>
      <x:c r="AA41" s="38" t="str"/>
      <x:c r="AB41" s="38" t="str">
        <x:v>Monitor English-only TalentPop openings and ignore old closed listings.</x:v>
      </x:c>
      <x:c r="AC41" s="38" t="str">
        <x:v>Watch only</x:v>
      </x:c>
      <x:c r="AD41" s="38"/>
      <x:c r="AE41" s="38"/>
      <x:c r="AF41" s="38" t="str">
        <x:v>2026-10-20</x:v>
      </x:c>
      <x:c r="AG41" s="38" t="str"/>
      <x:c r="AH41" s="38" t="str">
        <x:v>Watch / not active</x:v>
      </x:c>
    </x:row>
    <x:row r="42" ht="62" customHeight="1">
      <x:c r="A42" s="42" t="n">
        <x:v>32</x:v>
      </x:c>
      <x:c r="B42" s="42" t="str">
        <x:v>W WATCH</x:v>
      </x:c>
      <x:c r="C42" s="38" t="str">
        <x:v>Watch only; not a live application</x:v>
      </x:c>
      <x:c r="D42" s="38" t="str">
        <x:v>5CA</x:v>
      </x:c>
      <x:c r="E42" s="38" t="str">
        <x:v>English-only Customer Support Open Application</x:v>
      </x:c>
      <x:c r="F42" s="38" t="str">
        <x:v>Gaming / e-commerce support</x:v>
      </x:c>
      <x:c r="G42" s="38" t="n">
        <x:v>4</x:v>
      </x:c>
      <x:c r="H42" s="38" t="str">
        <x:v>Cannot verify: no employer data on acceptance rates</x:v>
      </x:c>
      <x:c r="I42" s="38" t="str">
        <x:v>Company hires Tunisia for some languages, not all roles</x:v>
      </x:c>
      <x:c r="J42" s="38" t="str">
        <x:v>COMPANY CAN HIRE TUNISIA; ENGLISH-TUNISIA VACANCY NOT CONFIRMED</x:v>
      </x:c>
      <x:c r="K42" s="38" t="str">
        <x:v>NO MATCHING ENGLISH-TUNISIA OPENING VERIFIED</x:v>
      </x:c>
      <x:c r="L42" s="38" t="str">
        <x:v>English roles vary by region</x:v>
      </x:c>
      <x:c r="M42" s="38" t="str">
        <x:v>No French threshold stated</x:v>
      </x:c>
      <x:c r="N42" s="38" t="str">
        <x:v>Not specified</x:v>
      </x:c>
      <x:c r="O42" s="38" t="str">
        <x:v>General customer/tech support on branded products with work-from-home toolkit.</x:v>
      </x:c>
      <x:c r="P42" s="38" t="str">
        <x:v>Languages and specific country list vary per requisition.</x:v>
      </x:c>
      <x:c r="Q42" s="38" t="str">
        <x:v>Strong English support background.</x:v>
      </x:c>
      <x:c r="R42" s="38" t="str">
        <x:v>Current English-only roles may list LATAM/Asia instead of Tunisia.</x:v>
      </x:c>
      <x:c r="S42" s="38" t="str">
        <x:v>Unconfirmed</x:v>
      </x:c>
      <x:c r="T42" s="38" t="str">
        <x:v>Not disclosed</x:v>
      </x:c>
      <x:c r="U42" s="38" t="str">
        <x:v>NOT DISCLOSED</x:v>
      </x:c>
      <x:c r="V42" s="38" t="str">
        <x:v>No figure stated by employer</x:v>
      </x:c>
      <x:c r="W42" s="38"/>
      <x:c r="X42" s="39" t="str">
        <x:f>IF(W42="","",(W42-$B$5)/$B$5)</x:f>
      </x:c>
      <x:c r="Y42" s="38" t="str">
        <x:v>Official careers index, not a role</x:v>
      </x:c>
      <x:c r="Z42" s="38" t="str">
        <x:v>https://jobs.5ca.com/jobs-at-5ca/</x:v>
      </x:c>
      <x:c r="AA42" s="38" t="str">
        <x:v>https://jobs.5ca.com/</x:v>
      </x:c>
      <x:c r="AB42" s="38" t="str">
        <x:v>Filter site for English and Tunisia, apply only when BOTH are named.</x:v>
      </x:c>
      <x:c r="AC42" s="38" t="str">
        <x:v>Watch only</x:v>
      </x:c>
      <x:c r="AD42" s="38"/>
      <x:c r="AE42" s="38"/>
      <x:c r="AF42" s="38" t="str">
        <x:v>2026-10-20</x:v>
      </x:c>
      <x:c r="AG42" s="38" t="str"/>
      <x:c r="AH42" s="38" t="str">
        <x:v>Watch / not active</x:v>
      </x:c>
    </x:row>
    <x:row r="43" ht="62" customHeight="1">
      <x:c r="A43" s="42" t="n">
        <x:v>33</x:v>
      </x:c>
      <x:c r="B43" s="42" t="str">
        <x:v>W WATCH</x:v>
      </x:c>
      <x:c r="C43" s="38" t="str">
        <x:v>Watch only; not a live application</x:v>
      </x:c>
      <x:c r="D43" s="38" t="str">
        <x:v>Keycafe</x:v>
      </x:c>
      <x:c r="E43" s="38" t="str">
        <x:v>IoT technical customer support future vacancy</x:v>
      </x:c>
      <x:c r="F43" s="38" t="str">
        <x:v>Smart device / SaaS support</x:v>
      </x:c>
      <x:c r="G43" s="38" t="n">
        <x:v>4</x:v>
      </x:c>
      <x:c r="H43" s="38" t="str">
        <x:v>Cannot verify: no employer data on acceptance rates</x:v>
      </x:c>
      <x:c r="I43" s="38" t="str">
        <x:v>Previously recruited Tunisia remote</x:v>
      </x:c>
      <x:c r="J43" s="38" t="str">
        <x:v>HISTORIC TUNISIA ACCEPTANCE; CURRENT VACANCY UNKNOWN</x:v>
      </x:c>
      <x:c r="K43" s="38" t="str">
        <x:v>COMPANY WATCHLIST, NO ACTIVE MATCH VERIFIED</x:v>
      </x:c>
      <x:c r="L43" s="38" t="str">
        <x:v>French + English</x:v>
      </x:c>
      <x:c r="M43" s="38" t="str">
        <x:v>B2 may be assessed / confirm</x:v>
      </x:c>
      <x:c r="N43" s="38" t="str">
        <x:v>Not specified</x:v>
      </x:c>
      <x:c r="O43" s="38" t="str">
        <x:v>Combination of hardware/IoT support and customer success.</x:v>
      </x:c>
      <x:c r="P43" s="38" t="str">
        <x:v>Device troubleshooting and bilingual documentation.</x:v>
      </x:c>
      <x:c r="Q43" s="38" t="str">
        <x:v>Potentially excellent technical domain match.</x:v>
      </x:c>
      <x:c r="R43" s="38" t="str">
        <x:v>Old actual listing closed; no new hiring proof.</x:v>
      </x:c>
      <x:c r="S43" s="38" t="str">
        <x:v>Unconfirmed</x:v>
      </x:c>
      <x:c r="T43" s="38" t="str">
        <x:v>Not disclosed</x:v>
      </x:c>
      <x:c r="U43" s="38" t="str">
        <x:v>NOT DISCLOSED</x:v>
      </x:c>
      <x:c r="V43" s="38" t="str">
        <x:v>No figure stated by employer</x:v>
      </x:c>
      <x:c r="W43" s="38"/>
      <x:c r="X43" s="39" t="str">
        <x:f>IF(W43="","",(W43-$B$5)/$B$5)</x:f>
      </x:c>
      <x:c r="Y43" s="38" t="str">
        <x:v>Company info + historic closed job</x:v>
      </x:c>
      <x:c r="Z43" s="38" t="str">
        <x:v>https://support.keycafe.com/hc/en-us/articles/360042926132-Help-Contact</x:v>
      </x:c>
      <x:c r="AA43" s="38" t="str">
        <x:v>https://tn.linkedin.com/jobs/view/customer-service-representative-french-english-tech-remote-at-keycafe-4314867631</x:v>
      </x:c>
      <x:c r="AB43" s="38" t="str">
        <x:v>Watch Keycafe new job postings; do not contact customer support to apply.</x:v>
      </x:c>
      <x:c r="AC43" s="38" t="str">
        <x:v>Watch only</x:v>
      </x:c>
      <x:c r="AD43" s="38"/>
      <x:c r="AE43" s="38"/>
      <x:c r="AF43" s="38" t="str">
        <x:v>2026-10-20</x:v>
      </x:c>
      <x:c r="AG43" s="38" t="str"/>
      <x:c r="AH43" s="38" t="str">
        <x:v>Watch / not active</x:v>
      </x:c>
    </x:row>
    <x:row r="44" ht="62" customHeight="1">
      <x:c r="A44" s="42" t="n">
        <x:v>34</x:v>
      </x:c>
      <x:c r="B44" s="42" t="str">
        <x:v>W WATCH</x:v>
      </x:c>
      <x:c r="C44" s="38" t="str">
        <x:v>Watch only; not a live application</x:v>
      </x:c>
      <x:c r="D44" s="38" t="str">
        <x:v>SupportYourApp</x:v>
      </x:c>
      <x:c r="E44" s="38" t="str">
        <x:v>English-only support open-CV / talent pool</x:v>
      </x:c>
      <x:c r="F44" s="38" t="str">
        <x:v>SaaS support company watchlist</x:v>
      </x:c>
      <x:c r="G44" s="38" t="n">
        <x:v>4</x:v>
      </x:c>
      <x:c r="H44" s="38" t="str">
        <x:v>Cannot verify: no employer data on acceptance rates</x:v>
      </x:c>
      <x:c r="I44" s="38" t="str">
        <x:v>Global company; some jobs specifically Tunis</x:v>
      </x:c>
      <x:c r="J44" s="38" t="str">
        <x:v>COMPANY HAS TUNISIA ROLES, BUT OPEN CV NOT A JOB OFFER</x:v>
      </x:c>
      <x:c r="K44" s="38" t="str">
        <x:v>TALENT POOL NOT LIVE VACANCY</x:v>
      </x:c>
      <x:c r="L44" s="38" t="str">
        <x:v>English C1</x:v>
      </x:c>
      <x:c r="M44" s="38" t="str">
        <x:v>No French threshold stated</x:v>
      </x:c>
      <x:c r="N44" s="38" t="str">
        <x:v>Not specified</x:v>
      </x:c>
      <x:c r="O44" s="38" t="str">
        <x:v>Send English CV to get considered for future email/chat support projects.</x:v>
      </x:c>
      <x:c r="P44" s="38" t="str">
        <x:v>C1 English and prior customer support useful.</x:v>
      </x:c>
      <x:c r="Q44" s="38" t="str">
        <x:v>Your experience closely matches company business.</x:v>
      </x:c>
      <x:c r="R44" s="38" t="str">
        <x:v>No guaranteed vacancy or response, current English-only listings may exclude Tunisia.</x:v>
      </x:c>
      <x:c r="S44" s="38" t="str">
        <x:v>Unconfirmed</x:v>
      </x:c>
      <x:c r="T44" s="38" t="str">
        <x:v>Not disclosed</x:v>
      </x:c>
      <x:c r="U44" s="38" t="str">
        <x:v>NOT DISCLOSED</x:v>
      </x:c>
      <x:c r="V44" s="38" t="str">
        <x:v>No figure stated by employer</x:v>
      </x:c>
      <x:c r="W44" s="38"/>
      <x:c r="X44" s="39" t="str">
        <x:f>IF(W44="","",(W44-$B$5)/$B$5)</x:f>
      </x:c>
      <x:c r="Y44" s="38" t="str">
        <x:v>Official careers index / talent pool</x:v>
      </x:c>
      <x:c r="Z44" s="38" t="str">
        <x:v>https://apply.workable.com/supportyourapp/</x:v>
      </x:c>
      <x:c r="AA44" s="38" t="str"/>
      <x:c r="AB44" s="38" t="str">
        <x:v>Use official talent-pool instructions on career page and continue active applications elsewhere.</x:v>
      </x:c>
      <x:c r="AC44" s="38" t="str">
        <x:v>Watch only</x:v>
      </x:c>
      <x:c r="AD44" s="38"/>
      <x:c r="AE44" s="38"/>
      <x:c r="AF44" s="38" t="str">
        <x:v>2026-10-20</x:v>
      </x:c>
      <x:c r="AG44" s="38" t="str"/>
      <x:c r="AH44" s="38" t="str">
        <x:v>Watch / not active</x:v>
      </x:c>
    </x:row>
    <x:row r="45" ht="62" customHeight="1">
      <x:c r="A45" s="42" t="n">
        <x:v>35</x:v>
      </x:c>
      <x:c r="B45" s="42" t="str">
        <x:v>W WATCH</x:v>
      </x:c>
      <x:c r="C45" s="38" t="str">
        <x:v>Watch only; not a live application</x:v>
      </x:c>
      <x:c r="D45" s="38" t="str">
        <x:v>ModSquad</x:v>
      </x:c>
      <x:c r="E45" s="38" t="str">
        <x:v>Community / player / customer support projects</x:v>
      </x:c>
      <x:c r="F45" s="38" t="str">
        <x:v>Gaming moderation / community care</x:v>
      </x:c>
      <x:c r="G45" s="38" t="n">
        <x:v>3</x:v>
      </x:c>
      <x:c r="H45" s="38" t="str">
        <x:v>Cannot verify: no employer data on acceptance rates</x:v>
      </x:c>
      <x:c r="I45" s="38" t="str">
        <x:v>Global freelancer projects; check Tunisia onboarding</x:v>
      </x:c>
      <x:c r="J45" s="38" t="str">
        <x:v>TUNISIA PROJECT ELIGIBILITY UNCONFIRMED</x:v>
      </x:c>
      <x:c r="K45" s="38" t="str">
        <x:v>COMPANY CAREERS / NO SPECIFIC ROLE VERIFIED</x:v>
      </x:c>
      <x:c r="L45" s="38" t="str">
        <x:v>English primarily; other languages vary</x:v>
      </x:c>
      <x:c r="M45" s="38" t="str">
        <x:v>No French threshold stated</x:v>
      </x:c>
      <x:c r="N45" s="38" t="str">
        <x:v>Not specified</x:v>
      </x:c>
      <x:c r="O45" s="38" t="str">
        <x:v>Remote community support and moderation project work, schedules change.</x:v>
      </x:c>
      <x:c r="P45" s="38" t="str">
        <x:v>Project-specific communication and technical requirements.</x:v>
      </x:c>
      <x:c r="Q45" s="38" t="str">
        <x:v>C1 English and support work.</x:v>
      </x:c>
      <x:c r="R45" s="38" t="str">
        <x:v>Income may be contingent on projects and region availability.</x:v>
      </x:c>
      <x:c r="S45" s="38" t="str">
        <x:v>Unconfirmed</x:v>
      </x:c>
      <x:c r="T45" s="38" t="str">
        <x:v>Not disclosed</x:v>
      </x:c>
      <x:c r="U45" s="38" t="str">
        <x:v>NOT DISCLOSED</x:v>
      </x:c>
      <x:c r="V45" s="38" t="str">
        <x:v>No figure stated by employer</x:v>
      </x:c>
      <x:c r="W45" s="38"/>
      <x:c r="X45" s="39" t="str">
        <x:f>IF(W45="","",(W45-$B$5)/$B$5)</x:f>
      </x:c>
      <x:c r="Y45" s="38" t="str">
        <x:v>Company recruitment portal only</x:v>
      </x:c>
      <x:c r="Z45" s="38" t="str">
        <x:v>https://join.modsquad.com/</x:v>
      </x:c>
      <x:c r="AA45" s="38" t="str"/>
      <x:c r="AB45" s="38" t="str">
        <x:v>Check open projects and Tunisian contractor eligibility; do not assume steady salary.</x:v>
      </x:c>
      <x:c r="AC45" s="38" t="str">
        <x:v>Watch only</x:v>
      </x:c>
      <x:c r="AD45" s="38"/>
      <x:c r="AE45" s="38"/>
      <x:c r="AF45" s="38" t="str">
        <x:v>2026-10-20</x:v>
      </x:c>
      <x:c r="AG45" s="38" t="str"/>
      <x:c r="AH45" s="38" t="str">
        <x:v>Watch / not active</x:v>
      </x:c>
    </x:row>
    <x:row r="46" ht="62" customHeight="1">
      <x:c r="A46" s="42" t="n">
        <x:v>36</x:v>
      </x:c>
      <x:c r="B46" s="42" t="str">
        <x:v>E SKIP</x:v>
      </x:c>
      <x:c r="C46" s="38" t="str">
        <x:v>SKIP this vacancy</x:v>
      </x:c>
      <x:c r="D46" s="38" t="str">
        <x:v>PAR Technology</x:v>
      </x:c>
      <x:c r="E46" s="38" t="str">
        <x:v>Technical Support Agent (French/English)</x:v>
      </x:c>
      <x:c r="F46" s="38" t="str">
        <x:v>Entry helpdesk (US)</x:v>
      </x:c>
      <x:c r="G46" s="38" t="n">
        <x:v>4</x:v>
      </x:c>
      <x:c r="H46" s="38" t="str">
        <x:v>Cannot verify: no employer data on acceptance rates</x:v>
      </x:c>
      <x:c r="I46" s="38" t="str">
        <x:v>Official explicitly remote U.S.-based</x:v>
      </x:c>
      <x:c r="J46" s="38" t="str">
        <x:v>US-BASED REMOTE ONLY</x:v>
      </x:c>
      <x:c r="K46" s="38" t="str">
        <x:v>LIVE | official, US only</x:v>
      </x:c>
      <x:c r="L46" s="38" t="str">
        <x:v>French / English bilingual</x:v>
      </x:c>
      <x:c r="M46" s="38" t="str">
        <x:v>B2 may be assessed / confirm</x:v>
      </x:c>
      <x:c r="N46" s="38" t="str">
        <x:v>Not specified</x:v>
      </x:c>
      <x:c r="O46" s="38" t="str">
        <x:v>Help restaurant customers troubleshoot software/hardware by phone.</x:v>
      </x:c>
      <x:c r="P46" s="38" t="str">
        <x:v>1+ year support, English &amp; French, basic Windows and networking.</x:v>
      </x:c>
      <x:c r="Q46" s="38" t="str">
        <x:v>Strong technical and support fit.</x:v>
      </x:c>
      <x:c r="R46" s="38" t="str">
        <x:v>US residency required; cannot work from Tunisia for this role.</x:v>
      </x:c>
      <x:c r="S46" s="38" t="str">
        <x:v>Unconfirmed</x:v>
      </x:c>
      <x:c r="T46" s="38" t="str">
        <x:v>Not disclosed</x:v>
      </x:c>
      <x:c r="U46" s="38" t="str">
        <x:v>NOT DISCLOSED</x:v>
      </x:c>
      <x:c r="V46" s="38" t="str">
        <x:v>No figure stated by employer</x:v>
      </x:c>
      <x:c r="W46" s="38"/>
      <x:c r="X46" s="39" t="str">
        <x:f>IF(W46="","",(W46-$B$5)/$B$5)</x:f>
      </x:c>
      <x:c r="Y46" s="38" t="str">
        <x:v>Official employer posting</x:v>
      </x:c>
      <x:c r="Z46" s="38" t="str">
        <x:v>https://jobs.ashbyhq.com/par%20technology/eb5a1113-1a34-4121-986c-644fc7b6d9d2/</x:v>
      </x:c>
      <x:c r="AA46" s="38" t="str"/>
      <x:c r="AB46" s="38" t="str">
        <x:v>Do not spend time on this job from Tunisia.</x:v>
      </x:c>
      <x:c r="AC46" s="38" t="str">
        <x:v>Excluded</x:v>
      </x:c>
      <x:c r="AD46" s="38"/>
      <x:c r="AE46" s="38"/>
      <x:c r="AF46" s="38" t="str">
        <x:v>2026-10-20</x:v>
      </x:c>
      <x:c r="AG46" s="38" t="str"/>
      <x:c r="AH46" s="38" t="str">
        <x:v>Exclude / not eligible</x:v>
      </x:c>
    </x:row>
    <x:row r="47" ht="62" customHeight="1">
      <x:c r="A47" s="42" t="n">
        <x:v>37</x:v>
      </x:c>
      <x:c r="B47" s="42" t="str">
        <x:v>E SKIP</x:v>
      </x:c>
      <x:c r="C47" s="38" t="str">
        <x:v>SKIP this vacancy</x:v>
      </x:c>
      <x:c r="D47" s="38" t="str">
        <x:v>Destination Knot</x:v>
      </x:c>
      <x:c r="E47" s="38" t="str">
        <x:v>Virtual Customer Service Representative — Hotel Booking</x:v>
      </x:c>
      <x:c r="F47" s="38" t="str">
        <x:v>Travel reservations</x:v>
      </x:c>
      <x:c r="G47" s="38" t="n">
        <x:v>3</x:v>
      </x:c>
      <x:c r="H47" s="38" t="str">
        <x:v>Cannot verify: no employer data on acceptance rates</x:v>
      </x:c>
      <x:c r="I47" s="38" t="str">
        <x:v>US/UK/selected countries; Tunisia excluded on form</x:v>
      </x:c>
      <x:c r="J47" s="38" t="str">
        <x:v>OFFICIAL RESIDENCY LIST EXCLUDES TUNISIA</x:v>
      </x:c>
      <x:c r="K47" s="38" t="str">
        <x:v>LIVE | OFFICIAL; geography disqualifier</x:v>
      </x:c>
      <x:c r="L47" s="38" t="str">
        <x:v>English</x:v>
      </x:c>
      <x:c r="M47" s="38" t="str">
        <x:v>No French threshold stated</x:v>
      </x:c>
      <x:c r="N47" s="38" t="str">
        <x:v>Not specified</x:v>
      </x:c>
      <x:c r="O47" s="38" t="str">
        <x:v>Assist clients to book hotels remotely.</x:v>
      </x:c>
      <x:c r="P47" s="38" t="str">
        <x:v>Eligible residency in specific listed countries.</x:v>
      </x:c>
      <x:c r="Q47" s="38" t="str">
        <x:v>Communication and customer support.</x:v>
      </x:c>
      <x:c r="R47" s="38" t="str">
        <x:v>Official application rejects residence outside list including Tunisia.</x:v>
      </x:c>
      <x:c r="S47" s="38" t="str">
        <x:v>Unconfirmed</x:v>
      </x:c>
      <x:c r="T47" s="38" t="str">
        <x:v>Not disclosed</x:v>
      </x:c>
      <x:c r="U47" s="38" t="str">
        <x:v>NOT DISCLOSED</x:v>
      </x:c>
      <x:c r="V47" s="38" t="str">
        <x:v>No figure stated by employer</x:v>
      </x:c>
      <x:c r="W47" s="38"/>
      <x:c r="X47" s="39" t="str">
        <x:f>IF(W47="","",(W47-$B$5)/$B$5)</x:f>
      </x:c>
      <x:c r="Y47" s="38" t="str">
        <x:v>Official employer posting</x:v>
      </x:c>
      <x:c r="Z47" s="38" t="str">
        <x:v>https://jobs.lever.co/destinationknot/4fdace01-cc73-4bbb-a826-bc81261389ce/apply</x:v>
      </x:c>
      <x:c r="AA47" s="38" t="str"/>
      <x:c r="AB47" s="38" t="str">
        <x:v>Skip; official form excludes Tunisia.</x:v>
      </x:c>
      <x:c r="AC47" s="38" t="str">
        <x:v>Excluded</x:v>
      </x:c>
      <x:c r="AD47" s="38"/>
      <x:c r="AE47" s="38"/>
      <x:c r="AF47" s="38" t="str">
        <x:v>2026-10-20</x:v>
      </x:c>
      <x:c r="AG47" s="38" t="str"/>
      <x:c r="AH47" s="38" t="str">
        <x:v>Exclude / not eligible</x:v>
      </x:c>
    </x:row>
    <x:row r="48" ht="62" customHeight="1">
      <x:c r="A48" s="42" t="n">
        <x:v>38</x:v>
      </x:c>
      <x:c r="B48" s="42" t="str">
        <x:v>E SKIP</x:v>
      </x:c>
      <x:c r="C48" s="38" t="str">
        <x:v>SKIP this vacancy</x:v>
      </x:c>
      <x:c r="D48" s="38" t="str">
        <x:v>SupportYourApp</x:v>
      </x:c>
      <x:c r="E48" s="38" t="str">
        <x:v>American English Customer Support Consultant</x:v>
      </x:c>
      <x:c r="F48" s="38" t="str">
        <x:v>English customer care</x:v>
      </x:c>
      <x:c r="G48" s="38" t="n">
        <x:v>3</x:v>
      </x:c>
      <x:c r="H48" s="38" t="str">
        <x:v>Cannot verify: no employer data on acceptance rates</x:v>
      </x:c>
      <x:c r="I48" s="38" t="str">
        <x:v>Official listings explicitly Morocco / South Africa / Philippines</x:v>
      </x:c>
      <x:c r="J48" s="38" t="str">
        <x:v>CURRENT ROLE COUNTRIES EXCLUDE TUNISIA</x:v>
      </x:c>
      <x:c r="K48" s="38" t="str">
        <x:v>LIVE | official but excluding Tunisia</x:v>
      </x:c>
      <x:c r="L48" s="38" t="str">
        <x:v>American English</x:v>
      </x:c>
      <x:c r="M48" s="38" t="str">
        <x:v>No French threshold stated</x:v>
      </x:c>
      <x:c r="N48" s="38" t="str">
        <x:v>Not specified</x:v>
      </x:c>
      <x:c r="O48" s="38" t="str">
        <x:v>Customer care over support platforms.</x:v>
      </x:c>
      <x:c r="P48" s="38" t="str">
        <x:v>Native-level American English and residency in listed countries.</x:v>
      </x:c>
      <x:c r="Q48" s="38" t="str">
        <x:v>English C1 and support.</x:v>
      </x:c>
      <x:c r="R48" s="38" t="str">
        <x:v>Tunisia not in listed permitted country locations.</x:v>
      </x:c>
      <x:c r="S48" s="38" t="str">
        <x:v>Unconfirmed</x:v>
      </x:c>
      <x:c r="T48" s="38" t="str">
        <x:v>Not disclosed</x:v>
      </x:c>
      <x:c r="U48" s="38" t="str">
        <x:v>NOT DISCLOSED</x:v>
      </x:c>
      <x:c r="V48" s="38" t="str">
        <x:v>No figure stated by employer</x:v>
      </x:c>
      <x:c r="W48" s="38"/>
      <x:c r="X48" s="39" t="str">
        <x:f>IF(W48="","",(W48-$B$5)/$B$5)</x:f>
      </x:c>
      <x:c r="Y48" s="38" t="str">
        <x:v>Official employer posting</x:v>
      </x:c>
      <x:c r="Z48" s="38" t="str">
        <x:v>https://apply.workable.com/supportyourapp/</x:v>
      </x:c>
      <x:c r="AA48" s="38" t="str"/>
      <x:c r="AB48" s="38" t="str">
        <x:v>Do not apply unless employer adds Tunisia.</x:v>
      </x:c>
      <x:c r="AC48" s="38" t="str">
        <x:v>Excluded</x:v>
      </x:c>
      <x:c r="AD48" s="38"/>
      <x:c r="AE48" s="38"/>
      <x:c r="AF48" s="38" t="str">
        <x:v>2026-10-20</x:v>
      </x:c>
      <x:c r="AG48" s="38" t="str"/>
      <x:c r="AH48" s="38" t="str">
        <x:v>Exclude / not eligible</x:v>
      </x:c>
    </x:row>
    <x:row r="49" ht="62" customHeight="1">
      <x:c r="A49" s="42" t="n">
        <x:v>39</x:v>
      </x:c>
      <x:c r="B49" s="42" t="str">
        <x:v>E SKIP</x:v>
      </x:c>
      <x:c r="C49" s="38" t="str">
        <x:v>SKIP this vacancy</x:v>
      </x:c>
      <x:c r="D49" s="38" t="str">
        <x:v>SupportYourApp</x:v>
      </x:c>
      <x:c r="E49" s="38" t="str">
        <x:v>English C1 Travel Support Consultant</x:v>
      </x:c>
      <x:c r="F49" s="38" t="str">
        <x:v>Travel helpdesk</x:v>
      </x:c>
      <x:c r="G49" s="38" t="n">
        <x:v>3</x:v>
      </x:c>
      <x:c r="H49" s="38" t="str">
        <x:v>Cannot verify: no employer data on acceptance rates</x:v>
      </x:c>
      <x:c r="I49" s="38" t="str">
        <x:v>Malaysia / Philippines / Thailand / Vietnam</x:v>
      </x:c>
      <x:c r="J49" s="38" t="str">
        <x:v>COUNTRY RESTRICTION EXCLUDES TUNISIA</x:v>
      </x:c>
      <x:c r="K49" s="38" t="str">
        <x:v>LIVE | official, region excluded</x:v>
      </x:c>
      <x:c r="L49" s="38" t="str">
        <x:v>English C1</x:v>
      </x:c>
      <x:c r="M49" s="38" t="str">
        <x:v>No French threshold stated</x:v>
      </x:c>
      <x:c r="N49" s="38" t="str">
        <x:v>Not specified</x:v>
      </x:c>
      <x:c r="O49" s="38" t="str">
        <x:v>Travel customer questions and booking support.</x:v>
      </x:c>
      <x:c r="P49" s="38" t="str">
        <x:v>C1 English and listed Asian resident eligibility.</x:v>
      </x:c>
      <x:c r="Q49" s="38" t="str">
        <x:v>C1 English, support.</x:v>
      </x:c>
      <x:c r="R49" s="38" t="str">
        <x:v>Not open to Tunisia.</x:v>
      </x:c>
      <x:c r="S49" s="38" t="str">
        <x:v>Unconfirmed</x:v>
      </x:c>
      <x:c r="T49" s="38" t="str">
        <x:v>Not disclosed</x:v>
      </x:c>
      <x:c r="U49" s="38" t="str">
        <x:v>NOT DISCLOSED</x:v>
      </x:c>
      <x:c r="V49" s="38" t="str">
        <x:v>No figure stated by employer</x:v>
      </x:c>
      <x:c r="W49" s="38"/>
      <x:c r="X49" s="39" t="str">
        <x:f>IF(W49="","",(W49-$B$5)/$B$5)</x:f>
      </x:c>
      <x:c r="Y49" s="38" t="str">
        <x:v>Official employer posting</x:v>
      </x:c>
      <x:c r="Z49" s="38" t="str">
        <x:v>https://apply.workable.com/supportyourapp/</x:v>
      </x:c>
      <x:c r="AA49" s="38" t="str"/>
      <x:c r="AB49" s="38" t="str">
        <x:v>Exclude due to residency requirement.</x:v>
      </x:c>
      <x:c r="AC49" s="38" t="str">
        <x:v>Excluded</x:v>
      </x:c>
      <x:c r="AD49" s="38"/>
      <x:c r="AE49" s="38"/>
      <x:c r="AF49" s="38" t="str">
        <x:v>2026-10-20</x:v>
      </x:c>
      <x:c r="AG49" s="38" t="str"/>
      <x:c r="AH49" s="38" t="str">
        <x:v>Exclude / not eligible</x:v>
      </x:c>
    </x:row>
    <x:row r="50" ht="62" customHeight="1">
      <x:c r="A50" s="42" t="n">
        <x:v>40</x:v>
      </x:c>
      <x:c r="B50" s="42" t="str">
        <x:v>E SKIP</x:v>
      </x:c>
      <x:c r="C50" s="38" t="str">
        <x:v>SKIP this vacancy</x:v>
      </x:c>
      <x:c r="D50" s="38" t="str">
        <x:v>HostPapa / Managed.com</x:v>
      </x:c>
      <x:c r="E50" s="38" t="str">
        <x:v>Web Hosting Customer Experience Specialist — English-title version</x:v>
      </x:c>
      <x:c r="F50" s="38" t="str">
        <x:v>Web hosting support / role mismatch</x:v>
      </x:c>
      <x:c r="G50" s="38" t="n">
        <x:v>2</x:v>
      </x:c>
      <x:c r="H50" s="38" t="str">
        <x:v>Cannot verify: no employer data on acceptance rates</x:v>
      </x:c>
      <x:c r="I50" s="38" t="str">
        <x:v>Remote, geography unknown</x:v>
      </x:c>
      <x:c r="J50" s="38" t="str">
        <x:v>LANGUAGE MISMATCH; COUNTRY UNCLEAR</x:v>
      </x:c>
      <x:c r="K50" s="38" t="str">
        <x:v>LIVE | mismatch in detail</x:v>
      </x:c>
      <x:c r="L50" s="38" t="str">
        <x:v>English AND Spanish required in detailed job description</x:v>
      </x:c>
      <x:c r="M50" s="38" t="str">
        <x:v>No French threshold stated</x:v>
      </x:c>
      <x:c r="N50" s="38" t="str">
        <x:v>Not specified</x:v>
      </x:c>
      <x:c r="O50" s="38" t="str">
        <x:v>Website/email/WordPress customer support via phone/chat/tickets.</x:v>
      </x:c>
      <x:c r="P50" s="38" t="str">
        <x:v>English and Spanish plus hosting support.</x:v>
      </x:c>
      <x:c r="Q50" s="38" t="str">
        <x:v>English and technical troubleshooting.</x:v>
      </x:c>
      <x:c r="R50" s="38" t="str">
        <x:v>No confirmed Spanish skill; title says English but body says Spanish.</x:v>
      </x:c>
      <x:c r="S50" s="38" t="str">
        <x:v>Unconfirmed</x:v>
      </x:c>
      <x:c r="T50" s="38" t="str">
        <x:v>Not disclosed</x:v>
      </x:c>
      <x:c r="U50" s="38" t="str">
        <x:v>NOT DISCLOSED</x:v>
      </x:c>
      <x:c r="V50" s="38" t="str">
        <x:v>No figure stated by employer</x:v>
      </x:c>
      <x:c r="W50" s="38"/>
      <x:c r="X50" s="39" t="str">
        <x:f>IF(W50="","",(W50-$B$5)/$B$5)</x:f>
      </x:c>
      <x:c r="Y50" s="38" t="str">
        <x:v>Official employer posting</x:v>
      </x:c>
      <x:c r="Z50" s="38" t="str">
        <x:v>https://careers.hostpapa.com/apply/RLHdMg0uIa/Web-Hosting-Customer-Experience-Specialist-English</x:v>
      </x:c>
      <x:c r="AA50" s="38" t="str">
        <x:v>https://careers.hostpapa.com/apply</x:v>
      </x:c>
      <x:c r="AB50" s="38" t="str">
        <x:v>Skip until recruiter clarifies whether Spanish text is an error.</x:v>
      </x:c>
      <x:c r="AC50" s="38" t="str">
        <x:v>Excluded</x:v>
      </x:c>
      <x:c r="AD50" s="38"/>
      <x:c r="AE50" s="38"/>
      <x:c r="AF50" s="38" t="str">
        <x:v>2026-10-20</x:v>
      </x:c>
      <x:c r="AG50" s="38" t="str"/>
      <x:c r="AH50" s="38" t="str">
        <x:v>Exclude / not eligible</x:v>
      </x:c>
    </x:row>
    <x:row r="51" ht="62" customHeight="1">
      <x:c r="A51" s="42" t="n">
        <x:v>41</x:v>
      </x:c>
      <x:c r="B51" s="42" t="str">
        <x:v>E SKIP</x:v>
      </x:c>
      <x:c r="C51" s="38" t="str">
        <x:v>SKIP this vacancy</x:v>
      </x:c>
      <x:c r="D51" s="38" t="str">
        <x:v>Treatwell</x:v>
      </x:c>
      <x:c r="E51" s="38" t="str">
        <x:v>Customer Support Expert — Tunis</x:v>
      </x:c>
      <x:c r="F51" s="38" t="str">
        <x:v>French local support</x:v>
      </x:c>
      <x:c r="G51" s="38" t="n">
        <x:v>2</x:v>
      </x:c>
      <x:c r="H51" s="38" t="str">
        <x:v>Cannot verify: no employer data on acceptance rates</x:v>
      </x:c>
      <x:c r="I51" s="38" t="str">
        <x:v>Tunisia location; remote work NOT verified</x:v>
      </x:c>
      <x:c r="J51" s="38" t="str">
        <x:v>REMOTE UNVERIFIED; SALARY BELOW CURRENT NET (NOT APPLES-TO-APPLES)</x:v>
      </x:c>
      <x:c r="K51" s="38" t="str">
        <x:v>CLOSED / NONREMOTE STATUS UNVERIFIED</x:v>
      </x:c>
      <x:c r="L51" s="38" t="str">
        <x:v>Strong French</x:v>
      </x:c>
      <x:c r="M51" s="38" t="str">
        <x:v>B2 may be assessed / confirm</x:v>
      </x:c>
      <x:c r="N51" s="38" t="str">
        <x:v>Not specified</x:v>
      </x:c>
      <x:c r="O51" s="38" t="str">
        <x:v>Support wellness booking platform users.</x:v>
      </x:c>
      <x:c r="P51" s="38" t="str">
        <x:v>French speaking high proficiency and customer care.</x:v>
      </x:c>
      <x:c r="Q51" s="38" t="str">
        <x:v>General support experience.</x:v>
      </x:c>
      <x:c r="R51" s="38" t="str">
        <x:v>Remote not verified and reported pay unattractive.</x:v>
      </x:c>
      <x:c r="S51" s="38" t="str">
        <x:v>Unconfirmed</x:v>
      </x:c>
      <x:c r="T51" s="38" t="str">
        <x:v>Not disclosed</x:v>
      </x:c>
      <x:c r="U51" s="38" t="str">
        <x:v>Historical listed gross TND 14,400–15,600/year</x:v>
      </x:c>
      <x:c r="V51" s="38" t="str">
        <x:v>Historical gross ≈ TND 1,200–1,300/month, not net; NOT a current offer.</x:v>
      </x:c>
      <x:c r="W51" s="38"/>
      <x:c r="X51" s="39" t="str">
        <x:f>IF(W51="","",(W51-$B$5)/$B$5)</x:f>
      </x:c>
      <x:c r="Y51" s="38" t="str">
        <x:v>Official employer posting</x:v>
      </x:c>
      <x:c r="Z51" s="38" t="str">
        <x:v>https://tn.linkedin.com/jobs/view/customer-support-expert-at-treatwell-4423018929</x:v>
      </x:c>
      <x:c r="AA51" s="38" t="str"/>
      <x:c r="AB51" s="38" t="str">
        <x:v>Exclude from remote-only higher-pay shortlist.</x:v>
      </x:c>
      <x:c r="AC51" s="38" t="str">
        <x:v>Excluded</x:v>
      </x:c>
      <x:c r="AD51" s="38"/>
      <x:c r="AE51" s="38"/>
      <x:c r="AF51" s="38" t="str">
        <x:v>2026-10-20</x:v>
      </x:c>
      <x:c r="AG51" s="38" t="str"/>
      <x:c r="AH51" s="38" t="str">
        <x:v>Exclude / not eligible</x:v>
      </x:c>
    </x:row>
    <x:row r="52" ht="62" customHeight="1">
      <x:c r="A52" s="42" t="n">
        <x:v>42</x:v>
      </x:c>
      <x:c r="B52" s="42" t="str">
        <x:v>E SKIP</x:v>
      </x:c>
      <x:c r="C52" s="38" t="str">
        <x:v>SKIP this vacancy</x:v>
      </x:c>
      <x:c r="D52" s="38" t="str">
        <x:v>5CA</x:v>
      </x:c>
      <x:c r="E52" s="38" t="str">
        <x:v>German / English Customer Support Agent</x:v>
      </x:c>
      <x:c r="F52" s="38" t="str">
        <x:v>Gaming remote support</x:v>
      </x:c>
      <x:c r="G52" s="38" t="n">
        <x:v>1</x:v>
      </x:c>
      <x:c r="H52" s="38" t="str">
        <x:v>Cannot verify: no employer data on acceptance rates</x:v>
      </x:c>
      <x:c r="I52" s="38" t="str">
        <x:v>Tunisia available on company careers</x:v>
      </x:c>
      <x:c r="J52" s="38" t="str">
        <x:v>TUNISIA MAY BE ACCEPTED; GERMAN REQUIREMENT</x:v>
      </x:c>
      <x:c r="K52" s="38" t="str">
        <x:v>LIVE | company careers</x:v>
      </x:c>
      <x:c r="L52" s="38" t="str">
        <x:v>German + English</x:v>
      </x:c>
      <x:c r="M52" s="38" t="str">
        <x:v>No French threshold stated</x:v>
      </x:c>
      <x:c r="N52" s="38" t="str">
        <x:v>Not specified</x:v>
      </x:c>
      <x:c r="O52" s="38" t="str">
        <x:v>Assist global gaming/ecommerce customers.</x:v>
      </x:c>
      <x:c r="P52" s="38" t="str">
        <x:v>German proficiency required.</x:v>
      </x:c>
      <x:c r="Q52" s="38" t="str">
        <x:v>English and support experience.</x:v>
      </x:c>
      <x:c r="R52" s="38" t="str">
        <x:v>German requirement unmet / unknown.</x:v>
      </x:c>
      <x:c r="S52" s="38" t="str">
        <x:v>Unconfirmed</x:v>
      </x:c>
      <x:c r="T52" s="38" t="str">
        <x:v>Not disclosed</x:v>
      </x:c>
      <x:c r="U52" s="38" t="str">
        <x:v>NOT DISCLOSED</x:v>
      </x:c>
      <x:c r="V52" s="38" t="str">
        <x:v>No figure stated by employer</x:v>
      </x:c>
      <x:c r="W52" s="38"/>
      <x:c r="X52" s="39" t="str">
        <x:f>IF(W52="","",(W52-$B$5)/$B$5)</x:f>
      </x:c>
      <x:c r="Y52" s="38" t="str">
        <x:v>Official employer posting</x:v>
      </x:c>
      <x:c r="Z52" s="38" t="str">
        <x:v>https://jobs.5ca.com/jobs-at-5ca/</x:v>
      </x:c>
      <x:c r="AA52" s="38" t="str"/>
      <x:c r="AB52" s="38" t="str">
        <x:v>Only apply to matching language roles.</x:v>
      </x:c>
      <x:c r="AC52" s="38" t="str">
        <x:v>Excluded</x:v>
      </x:c>
      <x:c r="AD52" s="38"/>
      <x:c r="AE52" s="38"/>
      <x:c r="AF52" s="38" t="str">
        <x:v>2026-10-20</x:v>
      </x:c>
      <x:c r="AG52" s="38" t="str"/>
      <x:c r="AH52" s="38" t="str">
        <x:v>Exclude / not eligible</x:v>
      </x:c>
    </x:row>
    <x:row r="53" ht="62" customHeight="1">
      <x:c r="A53" s="42" t="n">
        <x:v>43</x:v>
      </x:c>
      <x:c r="B53" s="42" t="str">
        <x:v>E SKIP</x:v>
      </x:c>
      <x:c r="C53" s="38" t="str">
        <x:v>SKIP this vacancy</x:v>
      </x:c>
      <x:c r="D53" s="38" t="str">
        <x:v>SupportYourApp</x:v>
      </x:c>
      <x:c r="E53" s="38" t="str">
        <x:v>Customer Support Consultant — German and English weekends</x:v>
      </x:c>
      <x:c r="F53" s="38" t="str">
        <x:v>Multilingual customer support</x:v>
      </x:c>
      <x:c r="G53" s="38" t="n">
        <x:v>1</x:v>
      </x:c>
      <x:c r="H53" s="38" t="str">
        <x:v>Cannot verify: no employer data on acceptance rates</x:v>
      </x:c>
      <x:c r="I53" s="38" t="str">
        <x:v>Tunis remote explicitly</x:v>
      </x:c>
      <x:c r="J53" s="38" t="str">
        <x:v>TUNISIA ALLOWED BUT MANDATORY GERMAN C1</x:v>
      </x:c>
      <x:c r="K53" s="38" t="str">
        <x:v>LIVE | official, but language disqualifier</x:v>
      </x:c>
      <x:c r="L53" s="38" t="str">
        <x:v>German C1 + English C1</x:v>
      </x:c>
      <x:c r="M53" s="38" t="str">
        <x:v>No French threshold stated</x:v>
      </x:c>
      <x:c r="N53" s="38" t="str">
        <x:v>Not specified</x:v>
      </x:c>
      <x:c r="O53" s="38" t="str">
        <x:v>Weekends remote support for consumer clients.</x:v>
      </x:c>
      <x:c r="P53" s="38" t="str">
        <x:v>German C1 required, English C1.</x:v>
      </x:c>
      <x:c r="Q53" s="38" t="str">
        <x:v>English C1 and Tunisia eligibility.</x:v>
      </x:c>
      <x:c r="R53" s="38" t="str">
        <x:v>German language not established; not a realistic immediate application.</x:v>
      </x:c>
      <x:c r="S53" s="38" t="str">
        <x:v>Unconfirmed</x:v>
      </x:c>
      <x:c r="T53" s="38" t="str">
        <x:v>Not disclosed</x:v>
      </x:c>
      <x:c r="U53" s="38" t="str">
        <x:v>NOT DISCLOSED</x:v>
      </x:c>
      <x:c r="V53" s="38" t="str">
        <x:v>No figure stated by employer</x:v>
      </x:c>
      <x:c r="W53" s="38"/>
      <x:c r="X53" s="39" t="str">
        <x:f>IF(W53="","",(W53-$B$5)/$B$5)</x:f>
      </x:c>
      <x:c r="Y53" s="38" t="str">
        <x:v>Official employer posting</x:v>
      </x:c>
      <x:c r="Z53" s="38" t="str">
        <x:v>https://apply.workable.com/supportyourapp/</x:v>
      </x:c>
      <x:c r="AA53" s="38" t="str"/>
      <x:c r="AB53" s="38" t="str">
        <x:v>Skip unless genuinely fluent German.</x:v>
      </x:c>
      <x:c r="AC53" s="38" t="str">
        <x:v>Excluded</x:v>
      </x:c>
      <x:c r="AD53" s="38"/>
      <x:c r="AE53" s="38"/>
      <x:c r="AF53" s="38" t="str">
        <x:v>2026-10-20</x:v>
      </x:c>
      <x:c r="AG53" s="38" t="str"/>
      <x:c r="AH53" s="38" t="str">
        <x:v>Exclude / not eligible</x:v>
      </x:c>
    </x:row>
  </x:sheetData>
  <x:mergeCells>
    <x:mergeCell ref="A1:AH1"/>
    <x:mergeCell ref="A2:AH2"/>
    <x:mergeCell ref="A3:AH3"/>
    <x:mergeCell ref="A7:AH7"/>
    <x:mergeCell ref="A8:AH8"/>
  </x:mergeCells>
  <x:conditionalFormatting sqref="G11:G53">
    <x:cfRule type="colorScale" priority="1">
      <x:colorScale>
        <x:cfvo type="min"/>
        <x:cfvo type="percentile" val="50"/>
        <x:cfvo type="max"/>
        <x:color rgb="FFFAD6DB"/>
        <x:color rgb="FFFFF1C5"/>
        <x:color rgb="FFD5F5E5"/>
      </x:colorScale>
    </x:cfRule>
  </x:conditionalFormatting>
  <x:conditionalFormatting sqref="B11:B53">
    <x:cfRule type="expression" dxfId="0" priority="2">
      <x:formula>B11="A APPLY"</x:formula>
    </x:cfRule>
    <x:cfRule type="expression" dxfId="1" priority="3">
      <x:formula>B11="B TARGET"</x:formula>
    </x:cfRule>
    <x:cfRule type="expression" dxfId="2" priority="4">
      <x:formula>B11="C LANGUAGE"</x:formula>
    </x:cfRule>
    <x:cfRule type="expression" dxfId="3" priority="5">
      <x:formula>B11="C SKILL"</x:formula>
    </x:cfRule>
    <x:cfRule type="expression" dxfId="4" priority="6">
      <x:formula>B11="D VERIFY"</x:formula>
    </x:cfRule>
    <x:cfRule type="expression" dxfId="5" priority="7">
      <x:formula>B11="W CLOSED"</x:formula>
    </x:cfRule>
    <x:cfRule type="expression" dxfId="6" priority="8">
      <x:formula>B11="W WATCH"</x:formula>
    </x:cfRule>
    <x:cfRule type="expression" dxfId="7" priority="9">
      <x:formula>B11="E SKIP"</x:formula>
    </x:cfRule>
  </x:conditionalFormatting>
  <x:dataValidations count="1">
    <x:dataValidation type="list" sqref="AC11:AC53">
      <x:formula1>"Not applied,CV updating,Applied,Recruiter replied,Screening,Interview,Assignment,Offer,Rejected,Closed,Watch only,Excluded"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125f9e1e524a9b"/>
  </x:tableParts>
</x:worksheet>
</file>