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f38131b2ef43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mote Jobs Tunisia" sheetId="1" r:id="R8f6b2a0d51c34e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%"/>
    <x:numFmt numFmtId="201" formatCode="0%"/>
    <x:numFmt numFmtId="202" formatCode="yyyy-mm-dd"/>
  </x:numFmts>
  <x:fonts count="11">
    <x:font>
      <x:sz val="11"/>
      <x:name val="Carlito"/>
    </x:font>
    <x:font>
      <x:b/>
      <x:sz val="17"/>
      <x:color rgb="FFFFFFFF"/>
      <x:name val="Carlito"/>
    </x:font>
    <x:font>
      <x:sz val="10"/>
      <x:color rgb="FFECFEFF"/>
      <x:name val="Carlito"/>
    </x:font>
    <x:font>
      <x:b/>
      <x:sz val="10"/>
      <x:color rgb="FF854D0E"/>
      <x:name val="Carlito"/>
    </x:font>
    <x:font>
      <x:b/>
      <x:sz val="11"/>
      <x:color rgb="FF143047"/>
      <x:name val="Carlito"/>
    </x:font>
    <x:font>
      <x:sz val="9"/>
      <x:color rgb="FF42586B"/>
      <x:name val="Carlito"/>
    </x:font>
    <x:font>
      <x:b/>
      <x:sz val="10"/>
      <x:color rgb="FFFFFFFF"/>
      <x:name val="Carlito"/>
    </x:font>
    <x:font>
      <x:b/>
      <x:sz val="13"/>
      <x:color rgb="FF163C58"/>
      <x:name val="Carlito"/>
    </x:font>
    <x:font>
      <x:b/>
      <x:sz val="13"/>
      <x:color rgb="FF07533F"/>
      <x:name val="Carlito"/>
    </x:font>
    <x:font>
      <x:b/>
      <x:sz val="13"/>
      <x:color rgb="FF115E59"/>
      <x:name val="Carlito"/>
    </x:font>
    <x:font>
      <x:b/>
      <x:sz val="10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0263F"/>
      </x:patternFill>
    </x:fill>
    <x:fill>
      <x:patternFill patternType="solid">
        <x:fgColor rgb="FF1D4C67"/>
      </x:patternFill>
    </x:fill>
    <x:fill>
      <x:patternFill patternType="solid">
        <x:fgColor rgb="FFFFF0C2"/>
      </x:patternFill>
    </x:fill>
    <x:fill>
      <x:patternFill patternType="solid">
        <x:fgColor rgb="FFE7F1F7"/>
      </x:patternFill>
    </x:fill>
    <x:fill>
      <x:patternFill patternType="solid">
        <x:fgColor rgb="FFF0F5F9"/>
      </x:patternFill>
    </x:fill>
    <x:fill>
      <x:patternFill patternType="solid">
        <x:fgColor rgb="FF0B5767"/>
      </x:patternFill>
    </x:fill>
    <x:fill>
      <x:patternFill patternType="solid">
        <x:fgColor rgb="FFD9EBF5"/>
      </x:patternFill>
    </x:fill>
    <x:fill>
      <x:patternFill patternType="solid">
        <x:fgColor rgb="FFD4F5E9"/>
      </x:patternFill>
    </x:fill>
    <x:fill>
      <x:patternFill patternType="solid">
        <x:fgColor rgb="FFDDEFEF"/>
      </x:patternFill>
    </x:fill>
  </x:fills>
  <x:borders count="2">
    <x:border/>
    <x:border/>
  </x:borders>
  <x:cellStyleXfs count="1">
    <x:xf numFmtId="0" fontId="0" fillId="0" borderId="0"/>
  </x:cellStyleXfs>
  <x:cellXfs count="79">
    <x:xf numFmtId="0" fontId="0" fillId="0" borderId="0" xfId="0"/>
    <x:xf numFmtId="0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200" fontId="0" fillId="5" borderId="0" xfId="0" applyNumberFormat="1" applyFont="1" applyFill="1" applyBorder="1"/>
    <x:xf numFmtId="0" fontId="4" fillId="5" borderId="0" xfId="0" applyNumberFormat="1" applyFont="1" applyFill="1" applyBorder="1"/>
    <x:xf numFmtId="20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vertical="center"/>
    </x:xf>
    <x:xf numFmtId="200" fontId="4" fillId="5" borderId="0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/>
    <x:xf numFmtId="200" fontId="0" fillId="5" borderId="1" xfId="0" applyNumberFormat="1" applyFont="1" applyFill="1" applyBorder="1"/>
    <x:xf numFmtId="0" fontId="4" fillId="5" borderId="1" xfId="0" applyNumberFormat="1" applyFont="1" applyFill="1" applyBorder="1"/>
    <x:xf numFmtId="20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vertical="center"/>
    </x:xf>
    <x:xf numFmtId="200" fontId="4" fillId="5" borderId="1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vertical="center" wrapText="1"/>
    </x:xf>
    <x:xf numFmtId="0" fontId="0" fillId="7" borderId="1" xfId="0" applyNumberFormat="1" applyFont="1" applyFill="1" applyBorder="1"/>
    <x:xf numFmtId="0" fontId="6" fillId="7" borderId="1" xfId="0" applyNumberFormat="1" applyFont="1" applyFill="1" applyBorder="1"/>
    <x:xf numFmtId="0" fontId="6" fillId="7" borderId="1" xfId="0" applyNumberFormat="1" applyFont="1" applyFill="1" applyBorder="1" applyAlignment="1">
      <x:alignment wrapText="1"/>
    </x:xf>
    <x:xf numFmtId="0" fontId="6" fillId="7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top"/>
    </x:xf>
    <x:xf numFmtId="201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202" fontId="0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0" fontId="0" fillId="0" borderId="1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2" fontId="0" fillId="0" borderId="1" xfId="0" applyNumberFormat="1" applyFont="1" applyFill="1" applyBorder="1" applyAlignment="1">
      <x:alignment vertical="top" wrapText="1"/>
    </x:xf>
    <x:xf numFmtId="0" fontId="4" fillId="8" borderId="0" xfId="0" applyNumberFormat="1" applyFont="1" applyFill="1" applyBorder="1" applyAlignment="1">
      <x:alignment vertical="center"/>
    </x:xf>
    <x:xf numFmtId="0" fontId="7" fillId="8" borderId="0" xfId="0" applyNumberFormat="1" applyFont="1" applyFill="1" applyBorder="1" applyAlignment="1">
      <x:alignment vertical="center"/>
    </x:xf>
    <x:xf numFmtId="0" fontId="4" fillId="8" borderId="1" xfId="0" applyNumberFormat="1" applyFont="1" applyFill="1" applyBorder="1" applyAlignment="1">
      <x:alignment vertical="center"/>
    </x:xf>
    <x:xf numFmtId="0" fontId="7" fillId="8" borderId="1" xfId="0" applyNumberFormat="1" applyFont="1" applyFill="1" applyBorder="1" applyAlignment="1">
      <x:alignment vertical="center"/>
    </x:xf>
    <x:xf numFmtId="0" fontId="4" fillId="9" borderId="0" xfId="0" applyNumberFormat="1" applyFont="1" applyFill="1" applyBorder="1" applyAlignment="1">
      <x:alignment vertical="center"/>
    </x:xf>
    <x:xf numFmtId="0" fontId="8" fillId="9" borderId="0" xfId="0" applyNumberFormat="1" applyFont="1" applyFill="1" applyBorder="1" applyAlignment="1">
      <x:alignment vertical="center"/>
    </x:xf>
    <x:xf numFmtId="0" fontId="4" fillId="9" borderId="1" xfId="0" applyNumberFormat="1" applyFont="1" applyFill="1" applyBorder="1" applyAlignment="1">
      <x:alignment vertical="center"/>
    </x:xf>
    <x:xf numFmtId="0" fontId="8" fillId="9" borderId="1" xfId="0" applyNumberFormat="1" applyFont="1" applyFill="1" applyBorder="1" applyAlignment="1">
      <x:alignment vertical="center"/>
    </x:xf>
    <x:xf numFmtId="0" fontId="4" fillId="10" borderId="0" xfId="0" applyNumberFormat="1" applyFont="1" applyFill="1" applyBorder="1" applyAlignment="1">
      <x:alignment vertical="center"/>
    </x:xf>
    <x:xf numFmtId="0" fontId="9" fillId="10" borderId="0" xfId="0" applyNumberFormat="1" applyFont="1" applyFill="1" applyBorder="1" applyAlignment="1">
      <x:alignment vertical="center"/>
    </x:xf>
    <x:xf numFmtId="0" fontId="4" fillId="10" borderId="1" xfId="0" applyNumberFormat="1" applyFont="1" applyFill="1" applyBorder="1" applyAlignment="1">
      <x:alignment vertical="center"/>
    </x:xf>
    <x:xf numFmtId="0" fontId="9" fillId="10" borderId="1" xfId="0" applyNumberFormat="1" applyFont="1" applyFill="1" applyBorder="1" applyAlignment="1">
      <x:alignment vertical="center"/>
    </x:xf>
    <x:xf numFmtId="200" fontId="4" fillId="10" borderId="0" xfId="0" applyNumberFormat="1" applyFont="1" applyFill="1" applyBorder="1" applyAlignment="1">
      <x:alignment vertical="center"/>
    </x:xf>
    <x:xf numFmtId="200" fontId="9" fillId="10" borderId="0" xfId="0" applyNumberFormat="1" applyFont="1" applyFill="1" applyBorder="1" applyAlignment="1">
      <x:alignment vertical="center"/>
    </x:xf>
    <x:xf numFmtId="200" fontId="4" fillId="10" borderId="1" xfId="0" applyNumberFormat="1" applyFont="1" applyFill="1" applyBorder="1" applyAlignment="1">
      <x:alignment vertical="center"/>
    </x:xf>
    <x:xf numFmtId="200" fontId="9" fillId="10" borderId="1" xfId="0" applyNumberFormat="1" applyFont="1" applyFill="1" applyBorder="1" applyAlignment="1">
      <x:alignment vertical="center"/>
    </x:xf>
    <x:xf numFmtId="0" fontId="1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5">
    <x:dxf>
      <x:fill>
        <x:patternFill patternType="solid">
          <x:bgColor rgb="FFD4F8E5"/>
        </x:patternFill>
      </x:fill>
    </x:dxf>
    <x:dxf>
      <x:fill>
        <x:patternFill patternType="solid">
          <x:bgColor rgb="FFE7F6F7"/>
        </x:patternFill>
      </x:fill>
    </x:dxf>
    <x:dxf>
      <x:fill>
        <x:patternFill patternType="solid">
          <x:bgColor rgb="FFFDE7E7"/>
        </x:patternFill>
      </x:fill>
    </x:dxf>
    <x:dxf>
      <x:fill>
        <x:patternFill patternType="solid">
          <x:bgColor rgb="FFEDECF6"/>
        </x:patternFill>
      </x:fill>
    </x:dxf>
    <x:dxf>
      <x:fill>
        <x:patternFill patternType="solid">
          <x:bgColor rgb="FFFFF3D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b814762781480a" /><Relationship Type="http://schemas.openxmlformats.org/officeDocument/2006/relationships/theme" Target="/xl/theme/theme1.xml" Id="Ra522f28ec87f434b" /><Relationship Type="http://schemas.openxmlformats.org/officeDocument/2006/relationships/sharedStrings" Target="/xl/sharedStrings.xml" Id="R79f42e7226534745" /><Relationship Type="http://schemas.openxmlformats.org/officeDocument/2006/relationships/worksheet" Target="/xl/worksheets/sheet1.xml" Id="R8f6b2a0d51c34e8d" /></Relationships>
</file>

<file path=xl/tables/table1.xml><?xml version="1.0" encoding="utf-8"?>
<x:table xmlns:x="http://schemas.openxmlformats.org/spreadsheetml/2006/main" id="1" name="RemoteEmbeddedJobsTracker" displayName="RemoteEmbeddedJobsTracker" ref="A9:AH75" headerRowCount="1" totalsRowCount="0" totalsRowShown="0">
  <x:tableColumns count="34">
    <x:tableColumn id="1" name="Rank"/>
    <x:tableColumn id="2" name="Priority"/>
    <x:tableColumn id="3" name="Listing status"/>
    <x:tableColumn id="4" name="Company"/>
    <x:tableColumn id="5" name="Role"/>
    <x:tableColumn id="6" name="Job family"/>
    <x:tableColumn id="7" name="Remote scope"/>
    <x:tableColumn id="8" name="Tunisia eligibility"/>
    <x:tableColumn id="9" name="Level"/>
    <x:tableColumn id="10" name="Experience stated"/>
    <x:tableColumn id="11" name="Language"/>
    <x:tableColumn id="12" name="Fit % (NOT acceptance odds)"/>
    <x:tableColumn id="13" name="Selection prospect / caveat"/>
    <x:tableColumn id="14" name="Short description"/>
    <x:tableColumn id="15" name="Requirements / tools"/>
    <x:tableColumn id="16" name="Your matching experience"/>
    <x:tableColumn id="17" name="Key gaps to close"/>
    <x:tableColumn id="18" name="Pay disclosed (verbatim context)"/>
    <x:tableColumn id="19" name="Salary min numeric"/>
    <x:tableColumn id="20" name="Salary max numeric"/>
    <x:tableColumn id="21" name="Salary currency"/>
    <x:tableColumn id="22" name="Salary period"/>
    <x:tableColumn id="23" name="Salary source classification"/>
    <x:tableColumn id="24" name="TND net goal (NOT employer pay)"/>
    <x:tableColumn id="25" name="Goal raise vs current midpoint"/>
    <x:tableColumn id="26" name="Employment"/>
    <x:tableColumn id="27" name="Official / job source URL"/>
    <x:tableColumn id="28" name="Secondary URL"/>
    <x:tableColumn id="29" name="Evidence quality"/>
    <x:tableColumn id="30" name="Application status"/>
    <x:tableColumn id="31" name="Applied on"/>
    <x:tableColumn id="32" name="Follow-up on"/>
    <x:tableColumn id="33" name="Next step"/>
    <x:tableColumn id="34" name="Last checke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edc36657f02443c" /></Relationships>
</file>

<file path=xl/worksheets/sheet1.xml><?xml version="1.0" encoding="utf-8"?>
<x:worksheet xmlns:x="http://schemas.openxmlformats.org/spreadsheetml/2006/main">
  <x:sheetViews>
    <x:sheetView workbookViewId="0">
      <x:pane ySplit="9" topLeftCell="A10" activePane="bottomLeft" state="frozen"/>
    </x:sheetView>
  </x:sheetViews>
  <x:sheetFormatPr defaultRowHeight="15"/>
  <x:cols>
    <x:col min="1" max="1" width="7" hidden="0" customWidth="1"/>
    <x:col min="2" max="2" width="16" hidden="0" customWidth="1"/>
    <x:col min="3" max="3" width="23" hidden="0" customWidth="1"/>
    <x:col min="4" max="4" width="19" hidden="0" customWidth="1"/>
    <x:col min="5" max="5" width="39" hidden="0" customWidth="1"/>
    <x:col min="6" max="6" width="25" hidden="0" customWidth="1"/>
    <x:col min="7" max="7" width="34" hidden="0" customWidth="1"/>
    <x:col min="8" max="8" width="30" hidden="0" customWidth="1"/>
    <x:col min="9" max="9" width="18" hidden="0" customWidth="1"/>
    <x:col min="10" max="10" width="21" hidden="0" customWidth="1"/>
    <x:col min="11" max="11" width="18" hidden="0" customWidth="1"/>
    <x:col min="12" max="12" width="14" hidden="0" customWidth="1"/>
    <x:col min="13" max="13" width="38" hidden="0" customWidth="1"/>
    <x:col min="14" max="14" width="42" hidden="0" customWidth="1"/>
    <x:col min="15" max="15" width="42" hidden="0" customWidth="1"/>
    <x:col min="16" max="16" width="40" hidden="0" customWidth="1"/>
    <x:col min="17" max="17" width="40" hidden="0" customWidth="1"/>
    <x:col min="18" max="18" width="39" hidden="0" customWidth="1"/>
    <x:col min="19" max="19" width="17" hidden="0" customWidth="1"/>
    <x:col min="20" max="20" width="17" hidden="0" customWidth="1"/>
    <x:col min="21" max="21" width="17" hidden="0" customWidth="1"/>
    <x:col min="22" max="22" width="16" hidden="0" customWidth="1"/>
    <x:col min="23" max="23" width="34" hidden="0" customWidth="1"/>
    <x:col min="24" max="24" width="20" hidden="0" customWidth="1"/>
    <x:col min="25" max="25" width="18" hidden="0" customWidth="1"/>
    <x:col min="26" max="26" width="17" hidden="0" customWidth="1"/>
    <x:col min="27" max="27" width="57" hidden="0" customWidth="1"/>
    <x:col min="28" max="28" width="50" hidden="0" customWidth="1"/>
    <x:col min="29" max="29" width="24" hidden="0" customWidth="1"/>
    <x:col min="30" max="30" width="18" hidden="0" customWidth="1"/>
    <x:col min="31" max="31" width="17" hidden="0" customWidth="1"/>
    <x:col min="32" max="32" width="18" hidden="0" customWidth="1"/>
    <x:col min="33" max="33" width="45" hidden="0" customWidth="1"/>
    <x:col min="34" max="34" width="18" hidden="0" customWidth="1"/>
  </x:cols>
  <x:sheetData>
    <x:row r="1" ht="34" customHeight="1">
      <x:c r="A1" s="10" t="str">
        <x:v>REMOTE EMBEDDED • LINUX • FIRMWARE • IoT | TUNISIA</x:v>
      </x:c>
      <x:c r="B1" s="10"/>
      <x:c r="C1" s="10"/>
      <x:c r="D1" s="10"/>
      <x:c r="E1" s="10"/>
      <x:c r="F1" s="10"/>
      <x:c r="G1" s="10"/>
      <x:c r="H1" s="10"/>
      <x:c r="I1" s="10"/>
      <x:c r="J1" s="10"/>
      <x:c r="K1" s="10"/>
      <x:c r="L1" s="10"/>
      <x:c r="M1" s="10"/>
      <x:c r="N1" s="10"/>
      <x:c r="O1" s="10"/>
      <x:c r="P1" s="10"/>
      <x:c r="Q1" s="10"/>
      <x:c r="R1" s="10"/>
      <x:c r="S1" s="10"/>
      <x:c r="T1" s="10"/>
      <x:c r="U1" s="10"/>
      <x:c r="V1" s="10"/>
      <x:c r="W1" s="10"/>
      <x:c r="X1" s="10"/>
      <x:c r="Y1" s="10"/>
      <x:c r="Z1" s="10"/>
      <x:c r="AA1" s="10"/>
      <x:c r="AB1" s="10"/>
      <x:c r="AC1" s="10"/>
      <x:c r="AD1" s="10"/>
      <x:c r="AE1" s="10"/>
      <x:c r="AF1" s="10"/>
      <x:c r="AG1" s="10"/>
      <x:c r="AH1" s="10"/>
    </x:row>
    <x:row r="2" ht="25" customHeight="1">
      <x:c r="A2" s="15" t="str">
        <x:v>Research snapshot: 20 OCT 2026   •   ONE worksheet   •   employer source links   •   do not confuse remote job with Tunisia-eligible job.</x:v>
      </x:c>
      <x:c r="B2" s="15"/>
      <x:c r="C2" s="15"/>
      <x:c r="D2" s="15"/>
      <x:c r="E2" s="15"/>
      <x:c r="F2" s="15"/>
      <x:c r="G2" s="15"/>
      <x:c r="H2" s="15"/>
      <x:c r="I2" s="15"/>
      <x:c r="J2" s="15"/>
      <x:c r="K2" s="15"/>
      <x:c r="L2" s="15"/>
      <x:c r="M2" s="15"/>
      <x:c r="N2" s="15"/>
      <x:c r="O2" s="15"/>
      <x:c r="P2" s="15"/>
      <x:c r="Q2" s="15"/>
      <x:c r="R2" s="15"/>
      <x:c r="S2" s="15"/>
      <x:c r="T2" s="15"/>
      <x:c r="U2" s="15"/>
      <x:c r="V2" s="15"/>
      <x:c r="W2" s="15"/>
      <x:c r="X2" s="15"/>
      <x:c r="Y2" s="15"/>
      <x:c r="Z2" s="15"/>
      <x:c r="AA2" s="15"/>
      <x:c r="AB2" s="15"/>
      <x:c r="AC2" s="15"/>
      <x:c r="AD2" s="15"/>
      <x:c r="AE2" s="15"/>
      <x:c r="AF2" s="15"/>
      <x:c r="AG2" s="15"/>
      <x:c r="AH2" s="15"/>
    </x:row>
    <x:row r="3" ht="27" customHeight="1">
      <x:c r="A3" s="19" t="str">
        <x:v>MATCH SCORES ARE EDITORIAL 0-100 READINESS SCORES, NOT STATISTICAL PERCENTAGES OF INTERVIEW OR JOB ACCEPTANCE. Actual hiring odds: cannot confirm.</x:v>
      </x:c>
      <x:c r="B3" s="19"/>
      <x:c r="C3" s="19"/>
      <x:c r="D3" s="19"/>
      <x:c r="E3" s="19"/>
      <x:c r="F3" s="19"/>
      <x:c r="G3" s="19"/>
      <x:c r="H3" s="19"/>
      <x:c r="I3" s="19"/>
      <x:c r="J3" s="19"/>
      <x:c r="K3" s="19"/>
      <x:c r="L3" s="19"/>
      <x:c r="M3" s="19"/>
      <x:c r="N3" s="19"/>
      <x:c r="O3" s="19"/>
      <x:c r="P3" s="19"/>
      <x:c r="Q3" s="19"/>
      <x:c r="R3" s="19"/>
      <x:c r="S3" s="19"/>
      <x:c r="T3" s="19"/>
      <x:c r="U3" s="19"/>
      <x:c r="V3" s="19"/>
      <x:c r="W3" s="19"/>
      <x:c r="X3" s="19"/>
      <x:c r="Y3" s="19"/>
      <x:c r="Z3" s="19"/>
      <x:c r="AA3" s="19"/>
      <x:c r="AB3" s="19"/>
      <x:c r="AC3" s="19"/>
      <x:c r="AD3" s="19"/>
      <x:c r="AE3" s="19"/>
      <x:c r="AF3" s="19"/>
      <x:c r="AG3" s="19"/>
      <x:c r="AH3" s="19"/>
    </x:row>
    <x:row r="5" ht="32" customHeight="1">
      <x:c r="A5" s="26" t="str">
        <x:v>Current net pay midpoint (TND/mo)</x:v>
      </x:c>
      <x:c r="B5" s="63" t="n">
        <x:v>1550</x:v>
      </x:c>
      <x:c r="C5" s="26"/>
      <x:c r="D5" s="26" t="str">
        <x:v>Personal desired minimum (TND net/mo)</x:v>
      </x:c>
      <x:c r="E5" s="67" t="n">
        <x:v>2600</x:v>
      </x:c>
      <x:c r="F5" s="26"/>
      <x:c r="G5" s="26" t="str">
        <x:v>Active employer-posted roles</x:v>
      </x:c>
      <x:c r="H5" s="71" t="n">
        <x:f>COUNTIF(C10:C75,"Employer job page verified")+COUNTIF(C10:C75,"Official role listed*")</x:f>
        <x:v>49</x:v>
      </x:c>
      <x:c r="I5" s="26"/>
      <x:c r="J5" s="26" t="str">
        <x:v>Top-priority applications</x:v>
      </x:c>
      <x:c r="K5" s="71" t="n">
        <x:f>COUNTIF(B10:B75,"P1 APPLY")</x:f>
        <x:v>3</x:v>
      </x:c>
      <x:c r="L5" s="26"/>
      <x:c r="M5" s="26" t="str">
        <x:v>Total researched leads</x:v>
      </x:c>
      <x:c r="N5" s="71" t="n">
        <x:f>COUNTA(E10:E75)</x:f>
        <x:v>66</x:v>
      </x:c>
      <x:c r="O5" s="26"/>
      <x:c r="P5" s="26" t="str">
        <x:v>Hypothetical uplift to net goal</x:v>
      </x:c>
      <x:c r="Q5" s="75" t="n">
        <x:f>(E5-B5)/B5</x:f>
        <x:v>0.6774193548387096</x:v>
      </x:c>
    </x:row>
    <x:row r="7" ht="26" customHeight="1">
      <x:c r="A7" s="35" t="str">
        <x:v>Salary: ONLY employer-stated pay goes into “Pay disclosed”. Goals and Tunisia benchmarks are separate. US-only salary ranges are NOT Tunisia expectations. Filter Priority then Tunisia eligibility.</x:v>
      </x:c>
      <x:c r="B7" s="35"/>
      <x:c r="C7" s="35"/>
      <x:c r="D7" s="35"/>
      <x:c r="E7" s="35"/>
      <x:c r="F7" s="35"/>
      <x:c r="G7" s="35"/>
      <x:c r="H7" s="35"/>
      <x:c r="I7" s="35"/>
      <x:c r="J7" s="35"/>
      <x:c r="K7" s="35"/>
      <x:c r="L7" s="35"/>
      <x:c r="M7" s="35"/>
      <x:c r="N7" s="35"/>
      <x:c r="O7" s="35"/>
      <x:c r="P7" s="35"/>
      <x:c r="Q7" s="35"/>
      <x:c r="R7" s="35"/>
      <x:c r="S7" s="35"/>
      <x:c r="T7" s="35"/>
      <x:c r="U7" s="35"/>
      <x:c r="V7" s="35"/>
      <x:c r="W7" s="35"/>
      <x:c r="X7" s="35"/>
      <x:c r="Y7" s="35"/>
      <x:c r="Z7" s="35"/>
      <x:c r="AA7" s="35"/>
      <x:c r="AB7" s="35"/>
      <x:c r="AC7" s="35"/>
      <x:c r="AD7" s="35"/>
      <x:c r="AE7" s="35"/>
      <x:c r="AF7" s="35"/>
      <x:c r="AG7" s="35"/>
      <x:c r="AH7" s="35"/>
    </x:row>
    <x:row r="8" ht="26" customHeight="1">
      <x:c r="A8" s="35" t="str">
        <x:v>Evidence: links point to direct employer postings wherever available; Indeed/LinkedIn entries require employer verification. WATCH = not a live vacancy. BLOCKED = remote but restricted elsewhere.</x:v>
      </x:c>
      <x:c r="B8" s="35"/>
      <x:c r="C8" s="35"/>
      <x:c r="D8" s="35"/>
      <x:c r="E8" s="35"/>
      <x:c r="F8" s="35"/>
      <x:c r="G8" s="35"/>
      <x:c r="H8" s="35"/>
      <x:c r="I8" s="35"/>
      <x:c r="J8" s="35"/>
      <x:c r="K8" s="35"/>
      <x:c r="L8" s="35"/>
      <x:c r="M8" s="35"/>
      <x:c r="N8" s="35"/>
      <x:c r="O8" s="35"/>
      <x:c r="P8" s="35"/>
      <x:c r="Q8" s="35"/>
      <x:c r="R8" s="35"/>
      <x:c r="S8" s="35"/>
      <x:c r="T8" s="35"/>
      <x:c r="U8" s="35"/>
      <x:c r="V8" s="35"/>
      <x:c r="W8" s="35"/>
      <x:c r="X8" s="35"/>
      <x:c r="Y8" s="35"/>
      <x:c r="Z8" s="35"/>
      <x:c r="AA8" s="35"/>
      <x:c r="AB8" s="35"/>
      <x:c r="AC8" s="35"/>
      <x:c r="AD8" s="35"/>
      <x:c r="AE8" s="35"/>
      <x:c r="AF8" s="35"/>
      <x:c r="AG8" s="35"/>
      <x:c r="AH8" s="35"/>
    </x:row>
    <x:row r="9" ht="38" customHeight="1">
      <x:c r="A9" s="41" t="str">
        <x:v>Rank</x:v>
      </x:c>
      <x:c r="B9" s="41" t="str">
        <x:v>Priority</x:v>
      </x:c>
      <x:c r="C9" s="41" t="str">
        <x:v>Listing status</x:v>
      </x:c>
      <x:c r="D9" s="41" t="str">
        <x:v>Company</x:v>
      </x:c>
      <x:c r="E9" s="41" t="str">
        <x:v>Role</x:v>
      </x:c>
      <x:c r="F9" s="41" t="str">
        <x:v>Job family</x:v>
      </x:c>
      <x:c r="G9" s="41" t="str">
        <x:v>Remote scope</x:v>
      </x:c>
      <x:c r="H9" s="41" t="str">
        <x:v>Tunisia eligibility</x:v>
      </x:c>
      <x:c r="I9" s="41" t="str">
        <x:v>Level</x:v>
      </x:c>
      <x:c r="J9" s="41" t="str">
        <x:v>Experience stated</x:v>
      </x:c>
      <x:c r="K9" s="41" t="str">
        <x:v>Language</x:v>
      </x:c>
      <x:c r="L9" s="41" t="str">
        <x:v>Fit % (NOT acceptance odds)</x:v>
      </x:c>
      <x:c r="M9" s="41" t="str">
        <x:v>Selection prospect / caveat</x:v>
      </x:c>
      <x:c r="N9" s="41" t="str">
        <x:v>Short description</x:v>
      </x:c>
      <x:c r="O9" s="41" t="str">
        <x:v>Requirements / tools</x:v>
      </x:c>
      <x:c r="P9" s="41" t="str">
        <x:v>Your matching experience</x:v>
      </x:c>
      <x:c r="Q9" s="41" t="str">
        <x:v>Key gaps to close</x:v>
      </x:c>
      <x:c r="R9" s="41" t="str">
        <x:v>Pay disclosed (verbatim context)</x:v>
      </x:c>
      <x:c r="S9" s="41" t="str">
        <x:v>Salary min numeric</x:v>
      </x:c>
      <x:c r="T9" s="41" t="str">
        <x:v>Salary max numeric</x:v>
      </x:c>
      <x:c r="U9" s="41" t="str">
        <x:v>Salary currency</x:v>
      </x:c>
      <x:c r="V9" s="41" t="str">
        <x:v>Salary period</x:v>
      </x:c>
      <x:c r="W9" s="41" t="str">
        <x:v>Salary source classification</x:v>
      </x:c>
      <x:c r="X9" s="41" t="str">
        <x:v>TND net goal (NOT employer pay)</x:v>
      </x:c>
      <x:c r="Y9" s="41" t="str">
        <x:v>Goal raise vs current midpoint</x:v>
      </x:c>
      <x:c r="Z9" s="41" t="str">
        <x:v>Employment</x:v>
      </x:c>
      <x:c r="AA9" s="41" t="str">
        <x:v>Official / job source URL</x:v>
      </x:c>
      <x:c r="AB9" s="41" t="str">
        <x:v>Secondary URL</x:v>
      </x:c>
      <x:c r="AC9" s="41" t="str">
        <x:v>Evidence quality</x:v>
      </x:c>
      <x:c r="AD9" s="41" t="str">
        <x:v>Application status</x:v>
      </x:c>
      <x:c r="AE9" s="41" t="str">
        <x:v>Applied on</x:v>
      </x:c>
      <x:c r="AF9" s="41" t="str">
        <x:v>Follow-up on</x:v>
      </x:c>
      <x:c r="AG9" s="41" t="str">
        <x:v>Next step</x:v>
      </x:c>
      <x:c r="AH9" s="41" t="str">
        <x:v>Last checked</x:v>
      </x:c>
    </x:row>
    <x:row r="10" ht="54" customHeight="1">
      <x:c r="A10" s="78" t="n">
        <x:v>1</x:v>
      </x:c>
      <x:c r="B10" s="78" t="str">
        <x:v>P1 APPLY</x:v>
      </x:c>
      <x:c r="C10" s="54" t="str">
        <x:v>Employer job page verified</x:v>
      </x:c>
      <x:c r="D10" s="54" t="str">
        <x:v>Canonical</x:v>
      </x:c>
      <x:c r="E10" s="54" t="str">
        <x:v>Associate Linux Support Engineer</x:v>
      </x:c>
      <x:c r="F10" s="54" t="str">
        <x:v>Linux support</x:v>
      </x:c>
      <x:c r="G10" s="54" t="str">
        <x:v>Remote worldwide; Tunisia contract to confirm</x:v>
      </x:c>
      <x:c r="H10" s="54" t="str">
        <x:v>Potential - confirm Tunisia</x:v>
      </x:c>
      <x:c r="I10" s="54" t="str">
        <x:v>Graduate/Associate</x:v>
      </x:c>
      <x:c r="J10" s="54" t="str">
        <x:v>Not stated</x:v>
      </x:c>
      <x:c r="K10" s="54" t="str">
        <x:v>English</x:v>
      </x:c>
      <x:c r="L10" s="55" t="n">
        <x:v>0.86</x:v>
      </x:c>
      <x:c r="M10" s="54" t="str">
        <x:v>Strong relative skill fit; true offer chance unknown</x:v>
      </x:c>
      <x:c r="N10" s="54" t="str">
        <x:v>Own Ubuntu/Linux support cases from diagnosis to resolution: logs, networking, desktop/server and IoT, customer communication and escalation.</x:v>
      </x:c>
      <x:c r="O10" s="54" t="str">
        <x:v>Linux troubleshooting, basic C/C++ or scripting, networking/server/cloud basics, English; travel twice yearly.</x:v>
      </x:c>
      <x:c r="P10" s="54" t="str">
        <x:v>Prior customer-support background, C/C++, Ubuntu/WSL2, Yocto/QEMU, UART and debugging are directly useful.</x:v>
      </x:c>
      <x:c r="Q10" s="54" t="str">
        <x:v>Need stronger real-world Linux admin/networking proof and evidence of SLA/ticket ownership; confirm travel/contract eligibility.</x:v>
      </x:c>
      <x:c r="R10" s="54" t="str">
        <x:v>Not disclosed</x:v>
      </x:c>
      <x:c r="S10" s="54"/>
      <x:c r="T10" s="54"/>
      <x:c r="U10" s="54" t="str"/>
      <x:c r="V10" s="54" t="str"/>
      <x:c r="W10" s="54" t="str">
        <x:v>Not disclosed</x:v>
      </x:c>
      <x:c r="X10" s="54" t="n">
        <x:v>2900</x:v>
      </x:c>
      <x:c r="Y10" s="56" t="n">
        <x:f>IF(X10="","",(X10-$B$5)/$B$5)</x:f>
        <x:v>0.8709677419354839</x:v>
      </x:c>
      <x:c r="Z10" s="54" t="str">
        <x:v>Full-time</x:v>
      </x:c>
      <x:c r="AA10" s="54" t="str">
        <x:v>https://canonical.com/careers/6448444/associate-linux-support-engineer-remote</x:v>
      </x:c>
      <x:c r="AB10" s="54" t="str"/>
      <x:c r="AC10" s="54" t="str">
        <x:v>Official employer</x:v>
      </x:c>
      <x:c r="AD10" s="54" t="str">
        <x:v>Not applied</x:v>
      </x:c>
      <x:c r="AE10" s="57"/>
      <x:c r="AF10" s="57"/>
      <x:c r="AG10" s="57" t="str">
        <x:v>Attach two concise Linux incident write-ups and one terminal-based troubleshooting repo.</x:v>
      </x:c>
      <x:c r="AH10" s="57" t="n">
        <x:v>46315</x:v>
      </x:c>
    </x:row>
    <x:row r="11" ht="54" customHeight="1">
      <x:c r="A11" s="78" t="n">
        <x:v>2</x:v>
      </x:c>
      <x:c r="B11" s="78" t="str">
        <x:v>P1 APPLY</x:v>
      </x:c>
      <x:c r="C11" s="54" t="str">
        <x:v>Employer job page verified</x:v>
      </x:c>
      <x:c r="D11" s="54" t="str">
        <x:v>Canonical</x:v>
      </x:c>
      <x:c r="E11" s="54" t="str">
        <x:v>Junior Ubuntu Software Engineer</x:v>
      </x:c>
      <x:c r="F11" s="54" t="str">
        <x:v>Linux software / distribution</x:v>
      </x:c>
      <x:c r="G11" s="54" t="str">
        <x:v>Remote worldwide; Tunisia contract to confirm</x:v>
      </x:c>
      <x:c r="H11" s="54" t="str">
        <x:v>Potential - confirm Tunisia</x:v>
      </x:c>
      <x:c r="I11" s="54" t="str">
        <x:v>Graduate/Associate</x:v>
      </x:c>
      <x:c r="J11" s="54" t="str">
        <x:v>Not stated</x:v>
      </x:c>
      <x:c r="K11" s="54" t="str">
        <x:v>English</x:v>
      </x:c>
      <x:c r="L11" s="55" t="n">
        <x:v>0.76</x:v>
      </x:c>
      <x:c r="M11" s="54" t="str">
        <x:v>Strong relative skill fit; true offer chance unknown</x:v>
      </x:c>
      <x:c r="N11" s="54" t="str">
        <x:v>Package, integrate, test and ship Linux software; debug C/C++/Python code; improve open-source documentation.</x:v>
      </x:c>
      <x:c r="O11" s="54" t="str">
        <x:v>STEM degree or equivalent narrative, open-source interest, C/C++/Python/Rust/Go, professional English; twice-yearly travel.</x:v>
      </x:c>
      <x:c r="P11" s="54" t="str">
        <x:v>C/C++ projects and Yocto build work make this a sensible early-career software application.</x:v>
      </x:c>
      <x:c r="Q11" s="54" t="str">
        <x:v>Current GitHub evidence is lab-oriented; independent upstream contributions and distribution packaging unproven.</x:v>
      </x:c>
      <x:c r="R11" s="54" t="str">
        <x:v>Not disclosed</x:v>
      </x:c>
      <x:c r="S11" s="54"/>
      <x:c r="T11" s="54"/>
      <x:c r="U11" s="54" t="str"/>
      <x:c r="V11" s="54" t="str"/>
      <x:c r="W11" s="54" t="str">
        <x:v>Not disclosed</x:v>
      </x:c>
      <x:c r="X11" s="54" t="n">
        <x:v>2900</x:v>
      </x:c>
      <x:c r="Y11" s="56" t="n">
        <x:f>IF(X11="","",(X11-$B$5)/$B$5)</x:f>
        <x:v>0.8709677419354839</x:v>
      </x:c>
      <x:c r="Z11" s="54" t="str">
        <x:v>Full-time</x:v>
      </x:c>
      <x:c r="AA11" s="54" t="str">
        <x:v>https://canonical.com/careers/6707669/junior-ubuntu-software-engineer-remote</x:v>
      </x:c>
      <x:c r="AB11" s="54" t="str"/>
      <x:c r="AC11" s="54" t="str">
        <x:v>Official employer</x:v>
      </x:c>
      <x:c r="AD11" s="54" t="str">
        <x:v>Not applied</x:v>
      </x:c>
      <x:c r="AE11" s="57"/>
      <x:c r="AF11" s="57"/>
      <x:c r="AG11" s="57" t="str">
        <x:v>Polish Linux diagnostics project and add a tested .deb or open-source PR.</x:v>
      </x:c>
      <x:c r="AH11" s="57" t="n">
        <x:v>46315</x:v>
      </x:c>
    </x:row>
    <x:row r="12" ht="54" customHeight="1">
      <x:c r="A12" s="78" t="n">
        <x:v>3</x:v>
      </x:c>
      <x:c r="B12" s="78" t="str">
        <x:v>P1 APPLY</x:v>
      </x:c>
      <x:c r="C12" s="54" t="str">
        <x:v>Employer job page verified</x:v>
      </x:c>
      <x:c r="D12" s="54" t="str">
        <x:v>Canonical</x:v>
      </x:c>
      <x:c r="E12" s="54" t="str">
        <x:v>Cloud Support Engineer</x:v>
      </x:c>
      <x:c r="F12" s="54" t="str">
        <x:v>Linux support</x:v>
      </x:c>
      <x:c r="G12" s="54" t="str">
        <x:v>Remote worldwide; Tunisia contract to confirm</x:v>
      </x:c>
      <x:c r="H12" s="54" t="str">
        <x:v>Potential - confirm Tunisia</x:v>
      </x:c>
      <x:c r="I12" s="54" t="str">
        <x:v>Unspecified</x:v>
      </x:c>
      <x:c r="J12" s="54" t="str">
        <x:v>Not stated</x:v>
      </x:c>
      <x:c r="K12" s="54" t="str">
        <x:v>English</x:v>
      </x:c>
      <x:c r="L12" s="55" t="n">
        <x:v>0.72</x:v>
      </x:c>
      <x:c r="M12" s="54" t="str">
        <x:v>Strong relative skill fit; true offer chance unknown</x:v>
      </x:c>
      <x:c r="N12" s="54" t="str">
        <x:v>Solve real Linux/open-source customer incidents using support tickets, remote sessions and collaboration with engineers.</x:v>
      </x:c>
      <x:c r="O12" s="54" t="str">
        <x:v>Technical troubleshooting, Linux/Ubuntu, customer communication; cloud technologies appear in the daily work.</x:v>
      </x:c>
      <x:c r="P12" s="54" t="str">
        <x:v>Strong support + Linux diagnostic fit; customer-facing communication may be your comparative advantage.</x:v>
      </x:c>
      <x:c r="Q12" s="54" t="str">
        <x:v>OpenStack/Kubernetes and production cloud support depth not documented.</x:v>
      </x:c>
      <x:c r="R12" s="54" t="str">
        <x:v>Not disclosed</x:v>
      </x:c>
      <x:c r="S12" s="54"/>
      <x:c r="T12" s="54"/>
      <x:c r="U12" s="54" t="str"/>
      <x:c r="V12" s="54" t="str"/>
      <x:c r="W12" s="54" t="str">
        <x:v>Not disclosed</x:v>
      </x:c>
      <x:c r="X12" s="54" t="n">
        <x:v>2900</x:v>
      </x:c>
      <x:c r="Y12" s="56" t="n">
        <x:f>IF(X12="","",(X12-$B$5)/$B$5)</x:f>
        <x:v>0.8709677419354839</x:v>
      </x:c>
      <x:c r="Z12" s="54" t="str">
        <x:v>Full-time</x:v>
      </x:c>
      <x:c r="AA12" s="54" t="str">
        <x:v>https://canonical.com/careers/2456563/cloud-support-engineer-remote</x:v>
      </x:c>
      <x:c r="AB12" s="54" t="str"/>
      <x:c r="AC12" s="54" t="str">
        <x:v>Official employer</x:v>
      </x:c>
      <x:c r="AD12" s="54" t="str">
        <x:v>Not applied</x:v>
      </x:c>
      <x:c r="AE12" s="57"/>
      <x:c r="AF12" s="57"/>
      <x:c r="AG12" s="57" t="str">
        <x:v>Complete focused Ubuntu server, SSH, TCP/IP, Docker and KVM troubleshooting labs.</x:v>
      </x:c>
      <x:c r="AH12" s="57" t="n">
        <x:v>46315</x:v>
      </x:c>
    </x:row>
    <x:row r="13" ht="54" customHeight="1">
      <x:c r="A13" s="78" t="n">
        <x:v>4</x:v>
      </x:c>
      <x:c r="B13" s="78" t="str">
        <x:v>P2 TARGET</x:v>
      </x:c>
      <x:c r="C13" s="54" t="str">
        <x:v>Employer job page verified</x:v>
      </x:c>
      <x:c r="D13" s="54" t="str">
        <x:v>Collabora</x:v>
      </x:c>
      <x:c r="E13" s="54" t="str">
        <x:v>Embedded Linux Consultant Engineer</x:v>
      </x:c>
      <x:c r="F13" s="54" t="str">
        <x:v>Embedded Linux / IoT</x:v>
      </x:c>
      <x:c r="G13" s="54" t="str">
        <x:v>Remote worldwide; Tunisia contract to confirm</x:v>
      </x:c>
      <x:c r="H13" s="54" t="str">
        <x:v>Potential - confirm Tunisia</x:v>
      </x:c>
      <x:c r="I13" s="54" t="str">
        <x:v>Unspecified</x:v>
      </x:c>
      <x:c r="J13" s="54" t="str">
        <x:v>Not stated</x:v>
      </x:c>
      <x:c r="K13" s="54" t="str">
        <x:v>English</x:v>
      </x:c>
      <x:c r="L13" s="55" t="n">
        <x:v>0.68</x:v>
      </x:c>
      <x:c r="M13" s="54" t="str">
        <x:v>Moderate relative fit; true offer chance unknown</x:v>
      </x:c>
      <x:c r="N13" s="54" t="str">
        <x:v>Consult on U-Boot, Linux kernel, BSPs and embedded distributions; investigate integration bugs, build images, advise clients.</x:v>
      </x:c>
      <x:c r="O13" s="54" t="str">
        <x:v>Yocto/Debian/ARM, Linux debugging, Git CI, image generation and OTA technologies (required); open-source methods.</x:v>
      </x:c>
      <x:c r="P13" s="54" t="str">
        <x:v>Yocto, ARM/STM32, UART and C/C++ are unusually relevant. English C1 helps consulting/client work.</x:v>
      </x:c>
      <x:c r="Q13" s="54" t="str">
        <x:v>OTA, A/B upgrades, upstream patches, image tools (wic/debos), and real BSP bring-up not yet demonstrated.</x:v>
      </x:c>
      <x:c r="R13" s="54" t="str">
        <x:v>Not disclosed</x:v>
      </x:c>
      <x:c r="S13" s="54"/>
      <x:c r="T13" s="54"/>
      <x:c r="U13" s="54" t="str"/>
      <x:c r="V13" s="54" t="str"/>
      <x:c r="W13" s="54" t="str">
        <x:v>Not disclosed</x:v>
      </x:c>
      <x:c r="X13" s="54" t="n">
        <x:v>2900</x:v>
      </x:c>
      <x:c r="Y13" s="56" t="n">
        <x:f>IF(X13="","",(X13-$B$5)/$B$5)</x:f>
        <x:v>0.8709677419354839</x:v>
      </x:c>
      <x:c r="Z13" s="54" t="str">
        <x:v>Full-time</x:v>
      </x:c>
      <x:c r="AA13" s="54" t="str">
        <x:v>https://jobs.lever.co/collabora/1d10fee4-5504-4abb-a623-276c926aad03</x:v>
      </x:c>
      <x:c r="AB13" s="54" t="str"/>
      <x:c r="AC13" s="54" t="str">
        <x:v>Official employer</x:v>
      </x:c>
      <x:c r="AD13" s="54" t="str">
        <x:v>Not applied</x:v>
      </x:c>
      <x:c r="AE13" s="57"/>
      <x:c r="AF13" s="57"/>
      <x:c r="AG13" s="57" t="str">
        <x:v>Create Yocto image reproducibly; document wic image, boot flow, OTA rollback experiment.</x:v>
      </x:c>
      <x:c r="AH13" s="57" t="n">
        <x:v>46315</x:v>
      </x:c>
    </x:row>
    <x:row r="14" ht="54" customHeight="1">
      <x:c r="A14" s="78" t="n">
        <x:v>5</x:v>
      </x:c>
      <x:c r="B14" s="78" t="str">
        <x:v>P2 TARGET</x:v>
      </x:c>
      <x:c r="C14" s="54" t="str">
        <x:v>Employer job page verified</x:v>
      </x:c>
      <x:c r="D14" s="54" t="str">
        <x:v>Canonical</x:v>
      </x:c>
      <x:c r="E14" s="54" t="str">
        <x:v>Linux Devices Software Engineer</x:v>
      </x:c>
      <x:c r="F14" s="54" t="str">
        <x:v>Embedded Linux / IoT</x:v>
      </x:c>
      <x:c r="G14" s="54" t="str">
        <x:v>Remote worldwide; Tunisia contract to confirm</x:v>
      </x:c>
      <x:c r="H14" s="54" t="str">
        <x:v>Potential - confirm Tunisia</x:v>
      </x:c>
      <x:c r="I14" s="54" t="str">
        <x:v>Unspecified</x:v>
      </x:c>
      <x:c r="J14" s="54" t="str">
        <x:v>Not stated</x:v>
      </x:c>
      <x:c r="K14" s="54" t="str">
        <x:v>English</x:v>
      </x:c>
      <x:c r="L14" s="55" t="n">
        <x:v>0.64</x:v>
      </x:c>
      <x:c r="M14" s="54" t="str">
        <x:v>Moderate relative fit; true offer chance unknown</x:v>
      </x:c>
      <x:c r="N14" s="54" t="str">
        <x:v>Build and optimize Ubuntu on smart devices: Linux images, kernel/device stacks, performance and integration.</x:v>
      </x:c>
      <x:c r="O14" s="54" t="str">
        <x:v>Linux development, systems programming, scripting, robust code, debugging; stronger academic track record.</x:v>
      </x:c>
      <x:c r="P14" s="54" t="str">
        <x:v>STM32/Yocto exposure and hardware-software boundary experience match the general domain.</x:v>
      </x:c>
      <x:c r="Q14" s="54" t="str">
        <x:v>Professional Linux device software deliverables, upstream work and advanced performance/security evidence.</x:v>
      </x:c>
      <x:c r="R14" s="54" t="str">
        <x:v>Not disclosed</x:v>
      </x:c>
      <x:c r="S14" s="54"/>
      <x:c r="T14" s="54"/>
      <x:c r="U14" s="54" t="str"/>
      <x:c r="V14" s="54" t="str"/>
      <x:c r="W14" s="54" t="str">
        <x:v>Not disclosed</x:v>
      </x:c>
      <x:c r="X14" s="54" t="n">
        <x:v>2600</x:v>
      </x:c>
      <x:c r="Y14" s="56" t="n">
        <x:f>IF(X14="","",(X14-$B$5)/$B$5)</x:f>
        <x:v>0.6774193548387096</x:v>
      </x:c>
      <x:c r="Z14" s="54" t="str">
        <x:v>Full-time</x:v>
      </x:c>
      <x:c r="AA14" s="54" t="str">
        <x:v>https://canonical.com/careers/5140562</x:v>
      </x:c>
      <x:c r="AB14" s="54" t="str"/>
      <x:c r="AC14" s="54" t="str">
        <x:v>Official employer</x:v>
      </x:c>
      <x:c r="AD14" s="54" t="str">
        <x:v>Not applied</x:v>
      </x:c>
      <x:c r="AE14" s="57"/>
      <x:c r="AF14" s="57"/>
      <x:c r="AG14" s="57" t="str">
        <x:v>Publish end-to-end device image + userspace daemon + UART integration demonstration.</x:v>
      </x:c>
      <x:c r="AH14" s="57" t="n">
        <x:v>46315</x:v>
      </x:c>
    </x:row>
    <x:row r="15" ht="54" customHeight="1">
      <x:c r="A15" s="78" t="n">
        <x:v>6</x:v>
      </x:c>
      <x:c r="B15" s="78" t="str">
        <x:v>P2 TARGET</x:v>
      </x:c>
      <x:c r="C15" s="54" t="str">
        <x:v>Employer job page verified</x:v>
      </x:c>
      <x:c r="D15" s="54" t="str">
        <x:v>Canonical</x:v>
      </x:c>
      <x:c r="E15" s="54" t="str">
        <x:v>Linux Software Engineer - Next-Gen Silicon</x:v>
      </x:c>
      <x:c r="F15" s="54" t="str">
        <x:v>Embedded Linux / IoT</x:v>
      </x:c>
      <x:c r="G15" s="54" t="str">
        <x:v>Remote worldwide; Tunisia contract to confirm</x:v>
      </x:c>
      <x:c r="H15" s="54" t="str">
        <x:v>Potential - confirm Tunisia</x:v>
      </x:c>
      <x:c r="I15" s="54" t="str">
        <x:v>Unspecified</x:v>
      </x:c>
      <x:c r="J15" s="54" t="str">
        <x:v>Not stated</x:v>
      </x:c>
      <x:c r="K15" s="54" t="str">
        <x:v>English</x:v>
      </x:c>
      <x:c r="L15" s="55" t="n">
        <x:v>0.63</x:v>
      </x:c>
      <x:c r="M15" s="54" t="str">
        <x:v>Moderate relative fit; true offer chance unknown</x:v>
      </x:c>
      <x:c r="N15" s="54" t="str">
        <x:v>Integrate Ubuntu with new silicon, drivers, packages, IoT and hardware enablement, collaborating with partners.</x:v>
      </x:c>
      <x:c r="O15" s="54" t="str">
        <x:v>C/C++/Python fundamentals, Ubuntu and Linux packages, open source, partner communication.</x:v>
      </x:c>
      <x:c r="P15" s="54" t="str">
        <x:v>Electronics + Yocto + C/C++ and supplier-facing communication suit hybrid technical work.</x:v>
      </x:c>
      <x:c r="Q15" s="54" t="str">
        <x:v>Linux distribution packaging, upstream project participation and silicon enablement depth need stronger proof.</x:v>
      </x:c>
      <x:c r="R15" s="54" t="str">
        <x:v>Not disclosed</x:v>
      </x:c>
      <x:c r="S15" s="54"/>
      <x:c r="T15" s="54"/>
      <x:c r="U15" s="54" t="str"/>
      <x:c r="V15" s="54" t="str"/>
      <x:c r="W15" s="54" t="str">
        <x:v>Not disclosed</x:v>
      </x:c>
      <x:c r="X15" s="54" t="n">
        <x:v>2600</x:v>
      </x:c>
      <x:c r="Y15" s="56" t="n">
        <x:f>IF(X15="","",(X15-$B$5)/$B$5)</x:f>
        <x:v>0.6774193548387096</x:v>
      </x:c>
      <x:c r="Z15" s="54" t="str">
        <x:v>Full-time</x:v>
      </x:c>
      <x:c r="AA15" s="54" t="str">
        <x:v>https://canonical.com/careers/7432750</x:v>
      </x:c>
      <x:c r="AB15" s="54" t="str"/>
      <x:c r="AC15" s="54" t="str">
        <x:v>Official employer</x:v>
      </x:c>
      <x:c r="AD15" s="54" t="str">
        <x:v>Not applied</x:v>
      </x:c>
      <x:c r="AE15" s="57"/>
      <x:c r="AF15" s="57"/>
      <x:c r="AG15" s="57" t="str">
        <x:v>Show a cross-compiled ARM image, kernel config change, and reproducible testing.</x:v>
      </x:c>
      <x:c r="AH15" s="57" t="n">
        <x:v>46315</x:v>
      </x:c>
    </x:row>
    <x:row r="16" ht="54" customHeight="1">
      <x:c r="A16" s="78" t="n">
        <x:v>7</x:v>
      </x:c>
      <x:c r="B16" s="78" t="str">
        <x:v>P2 TARGET</x:v>
      </x:c>
      <x:c r="C16" s="54" t="str">
        <x:v>Employer job page verified</x:v>
      </x:c>
      <x:c r="D16" s="54" t="str">
        <x:v>ButterflyMX</x:v>
      </x:c>
      <x:c r="E16" s="54" t="str">
        <x:v>Firmware Engineer</x:v>
      </x:c>
      <x:c r="F16" s="54" t="str">
        <x:v>Firmware / electronics / IoT</x:v>
      </x:c>
      <x:c r="G16" s="54" t="str">
        <x:v>Distributed / primarily remote; specific hiring country not declared</x:v>
      </x:c>
      <x:c r="H16" s="54" t="str">
        <x:v>Location unconfirmed - ask before applying</x:v>
      </x:c>
      <x:c r="I16" s="54" t="str">
        <x:v>Experienced</x:v>
      </x:c>
      <x:c r="J16" s="54" t="str">
        <x:v>Not stated</x:v>
      </x:c>
      <x:c r="K16" s="54" t="str">
        <x:v>English</x:v>
      </x:c>
      <x:c r="L16" s="55" t="n">
        <x:v>0.61</x:v>
      </x:c>
      <x:c r="M16" s="54" t="str">
        <x:v>Moderate relative fit; true offer chance unknown</x:v>
      </x:c>
      <x:c r="N16" s="54" t="str">
        <x:v>Firmware for MCU/Zephyr/embedded Linux access-control and connected devices.</x:v>
      </x:c>
      <x:c r="O16" s="54" t="str">
        <x:v>Embedded C/C++, peripherals, OTA security, MQTT, hardware troubleshooting.</x:v>
      </x:c>
      <x:c r="P16" s="54" t="str">
        <x:v>STM32, FreeRTOS, UART/I2C/SPI, MQTT, C/C++ and schematic reading.</x:v>
      </x:c>
      <x:c r="Q16" s="54" t="str">
        <x:v>Field-proven security boot, Zephyr stack and shipping fleet scale.</x:v>
      </x:c>
      <x:c r="R16" s="54" t="str">
        <x:v>$150,000-$190,000 annual base; do not apply to Tunisia pay</x:v>
      </x:c>
      <x:c r="S16" s="54" t="n">
        <x:v>150000</x:v>
      </x:c>
      <x:c r="T16" s="54" t="n">
        <x:v>190000</x:v>
      </x:c>
      <x:c r="U16" s="54" t="str">
        <x:v>USD</x:v>
      </x:c>
      <x:c r="V16" s="54" t="str">
        <x:v>year</x:v>
      </x:c>
      <x:c r="W16" s="54" t="str">
        <x:v>Employer disclosed; geography-limited applicability</x:v>
      </x:c>
      <x:c r="X16" s="54" t="n">
        <x:v>2600</x:v>
      </x:c>
      <x:c r="Y16" s="56" t="n">
        <x:f>IF(X16="","",(X16-$B$5)/$B$5)</x:f>
        <x:v>0.6774193548387096</x:v>
      </x:c>
      <x:c r="Z16" s="54" t="str">
        <x:v>Full-time</x:v>
      </x:c>
      <x:c r="AA16" s="54" t="str">
        <x:v>https://jobs.ashbyhq.com/butterflymx/6c7e9c7e-e244-4aeb-8d0c-c00aa1154234/</x:v>
      </x:c>
      <x:c r="AB16" s="54" t="str"/>
      <x:c r="AC16" s="54" t="str">
        <x:v>Official employer</x:v>
      </x:c>
      <x:c r="AD16" s="54" t="str">
        <x:v>Not applied</x:v>
      </x:c>
      <x:c r="AE16" s="57"/>
      <x:c r="AF16" s="57"/>
      <x:c r="AG16" s="57" t="str">
        <x:v>Open official URL, verify Tunisia hiring; tailor CV and apply.</x:v>
      </x:c>
      <x:c r="AH16" s="57" t="n">
        <x:v>46315</x:v>
      </x:c>
    </x:row>
    <x:row r="17" ht="54" customHeight="1">
      <x:c r="A17" s="78" t="n">
        <x:v>8</x:v>
      </x:c>
      <x:c r="B17" s="78" t="str">
        <x:v>P2 TARGET</x:v>
      </x:c>
      <x:c r="C17" s="54" t="str">
        <x:v>Employer job page verified</x:v>
      </x:c>
      <x:c r="D17" s="54" t="str">
        <x:v>Canonical</x:v>
      </x:c>
      <x:c r="E17" s="54" t="str">
        <x:v>Embedded Linux Field Engineer for Devices/IoT</x:v>
      </x:c>
      <x:c r="F17" s="54" t="str">
        <x:v>Embedded Linux / field engineering</x:v>
      </x:c>
      <x:c r="G17" s="54" t="str">
        <x:v>Worldwide home-based; up to 30% travel</x:v>
      </x:c>
      <x:c r="H17" s="54" t="str">
        <x:v>Potential - confirm Tunisia</x:v>
      </x:c>
      <x:c r="I17" s="54" t="str">
        <x:v>Experienced</x:v>
      </x:c>
      <x:c r="J17" s="54" t="str">
        <x:v>Not stated</x:v>
      </x:c>
      <x:c r="K17" s="54" t="str">
        <x:v>English</x:v>
      </x:c>
      <x:c r="L17" s="55" t="n">
        <x:v>0.6</x:v>
      </x:c>
      <x:c r="M17" s="54" t="str">
        <x:v>Moderate relative fit; true offer chance unknown</x:v>
      </x:c>
      <x:c r="N17" s="54" t="str">
        <x:v>Technical presales, architecture and delivery for Ubuntu Core embedded/IoT customers.</x:v>
      </x:c>
      <x:c r="O17" s="54" t="str">
        <x:v>Extensive Linux; Yocto/Buildroot; distro packaging; C/Python; excellent communication.</x:v>
      </x:c>
      <x:c r="P17" s="54" t="str">
        <x:v>Yocto, embedded hardware debugging, technical support and customer interactions.</x:v>
      </x:c>
      <x:c r="Q17" s="54" t="str">
        <x:v>Deep boot/UEFI/Secure Boot, Debian packaging; customer projects; substantial travel.</x:v>
      </x:c>
      <x:c r="R17" s="54" t="str">
        <x:v>Not disclosed</x:v>
      </x:c>
      <x:c r="S17" s="54"/>
      <x:c r="T17" s="54"/>
      <x:c r="U17" s="54" t="str"/>
      <x:c r="V17" s="54" t="str"/>
      <x:c r="W17" s="54" t="str">
        <x:v>Not disclosed</x:v>
      </x:c>
      <x:c r="X17" s="54" t="n">
        <x:v>2600</x:v>
      </x:c>
      <x:c r="Y17" s="56" t="n">
        <x:f>IF(X17="","",(X17-$B$5)/$B$5)</x:f>
        <x:v>0.6774193548387096</x:v>
      </x:c>
      <x:c r="Z17" s="54" t="str">
        <x:v>Full-time</x:v>
      </x:c>
      <x:c r="AA17" s="54" t="str">
        <x:v>https://canonical.com/careers/3362765/embedded-linux-field-engineer-for-devices-iot-remote</x:v>
      </x:c>
      <x:c r="AB17" s="54" t="str"/>
      <x:c r="AC17" s="54" t="str">
        <x:v>Official employer</x:v>
      </x:c>
      <x:c r="AD17" s="54" t="str">
        <x:v>Not applied</x:v>
      </x:c>
      <x:c r="AE17" s="57"/>
      <x:c r="AF17" s="57"/>
      <x:c r="AG17" s="57" t="str">
        <x:v>Open official URL, verify Tunisia hiring; tailor CV and apply.</x:v>
      </x:c>
      <x:c r="AH17" s="57" t="n">
        <x:v>46315</x:v>
      </x:c>
    </x:row>
    <x:row r="18" ht="54" customHeight="1">
      <x:c r="A18" s="78" t="n">
        <x:v>9</x:v>
      </x:c>
      <x:c r="B18" s="78" t="str">
        <x:v>P2 TARGET</x:v>
      </x:c>
      <x:c r="C18" s="54" t="str">
        <x:v>Employer job page verified</x:v>
      </x:c>
      <x:c r="D18" s="54" t="str">
        <x:v>Canonical</x:v>
      </x:c>
      <x:c r="E18" s="54" t="str">
        <x:v>Junior Linux Kernel Engineer</x:v>
      </x:c>
      <x:c r="F18" s="54" t="str">
        <x:v>Linux kernel / systems</x:v>
      </x:c>
      <x:c r="G18" s="54" t="str">
        <x:v>Remote worldwide; Tunisia contract to confirm</x:v>
      </x:c>
      <x:c r="H18" s="54" t="str">
        <x:v>Potential - confirm Tunisia</x:v>
      </x:c>
      <x:c r="I18" s="54" t="str">
        <x:v>Graduate/Associate</x:v>
      </x:c>
      <x:c r="J18" s="54" t="str">
        <x:v>Not stated</x:v>
      </x:c>
      <x:c r="K18" s="54" t="str">
        <x:v>English</x:v>
      </x:c>
      <x:c r="L18" s="55" t="n">
        <x:v>0.59</x:v>
      </x:c>
      <x:c r="M18" s="54" t="str">
        <x:v>Moderate relative fit; true offer chance unknown</x:v>
      </x:c>
      <x:c r="N18" s="54" t="str">
        <x:v>Learn kernel engineering and contribute patches, regression tests, debugging and kernel delivery for Ubuntu hardware.</x:v>
      </x:c>
      <x:c r="O18" s="54" t="str">
        <x:v>Early career/recent graduates, C or Rust, git, OS kernel fundamentals, English; global travel.</x:v>
      </x:c>
      <x:c r="P18" s="54" t="str">
        <x:v>Embedded C and Linux coursework align, particularly with a strong project-based portfolio.</x:v>
      </x:c>
      <x:c r="Q18" s="54" t="str">
        <x:v>Kernel patches, upstream code review and kernel debugging are not yet evidenced; junior label does not mean easy.</x:v>
      </x:c>
      <x:c r="R18" s="54" t="str">
        <x:v>Not disclosed</x:v>
      </x:c>
      <x:c r="S18" s="54"/>
      <x:c r="T18" s="54"/>
      <x:c r="U18" s="54" t="str"/>
      <x:c r="V18" s="54" t="str"/>
      <x:c r="W18" s="54" t="str">
        <x:v>Not disclosed</x:v>
      </x:c>
      <x:c r="X18" s="54" t="n">
        <x:v>2600</x:v>
      </x:c>
      <x:c r="Y18" s="56" t="n">
        <x:f>IF(X18="","",(X18-$B$5)/$B$5)</x:f>
        <x:v>0.6774193548387096</x:v>
      </x:c>
      <x:c r="Z18" s="54" t="str">
        <x:v>Full-time</x:v>
      </x:c>
      <x:c r="AA18" s="54" t="str">
        <x:v>https://canonical.com/careers/5370815/junior-linux-kernel-engineer-ubuntu-remote</x:v>
      </x:c>
      <x:c r="AB18" s="54" t="str"/>
      <x:c r="AC18" s="54" t="str">
        <x:v>Official employer</x:v>
      </x:c>
      <x:c r="AD18" s="54" t="str">
        <x:v>Not applied</x:v>
      </x:c>
      <x:c r="AE18" s="57"/>
      <x:c r="AF18" s="57"/>
      <x:c r="AG18" s="57" t="str">
        <x:v>Build a loadable .ko, debug with dmesg/strace, contribute a small upstream documentation patch.</x:v>
      </x:c>
      <x:c r="AH18" s="57" t="n">
        <x:v>46315</x:v>
      </x:c>
    </x:row>
    <x:row r="19" ht="54" customHeight="1">
      <x:c r="A19" s="78" t="n">
        <x:v>10</x:v>
      </x:c>
      <x:c r="B19" s="78" t="str">
        <x:v>P2 TARGET</x:v>
      </x:c>
      <x:c r="C19" s="54" t="str">
        <x:v>Employer job page verified</x:v>
      </x:c>
      <x:c r="D19" s="54" t="str">
        <x:v>Eight Sleep</x:v>
      </x:c>
      <x:c r="E19" s="54" t="str">
        <x:v>Senior Firmware Engineer</x:v>
      </x:c>
      <x:c r="F19" s="54" t="str">
        <x:v>Firmware / embedded electronics</x:v>
      </x:c>
      <x:c r="G19" s="54" t="str">
        <x:v>Remote possibility; location/work authorization not explicit</x:v>
      </x:c>
      <x:c r="H19" s="54" t="str">
        <x:v>Location unconfirmed - ask before applying</x:v>
      </x:c>
      <x:c r="I19" s="54" t="str">
        <x:v>Senior</x:v>
      </x:c>
      <x:c r="J19" s="54" t="str">
        <x:v>4+ firmware</x:v>
      </x:c>
      <x:c r="K19" s="54" t="str">
        <x:v>English</x:v>
      </x:c>
      <x:c r="L19" s="55" t="n">
        <x:v>0.59</x:v>
      </x:c>
      <x:c r="M19" s="54" t="str">
        <x:v>Moderate relative fit; true offer chance unknown</x:v>
      </x:c>
      <x:c r="N19" s="54" t="str">
        <x:v>Production firmware, sensors, MCU peripheral drivers and OTA telemetry.</x:v>
      </x:c>
      <x:c r="O19" s="54" t="str">
        <x:v>Embedded C/C++, Python, UART/I2C/SPI/USB, deployed device fleet experience.</x:v>
      </x:c>
      <x:c r="P19" s="54" t="str">
        <x:v>STM32, embedded C, electronics debugging and protocols.</x:v>
      </x:c>
      <x:c r="Q19" s="54" t="str">
        <x:v>Large production device fleet and OTA lifecycle.</x:v>
      </x:c>
      <x:c r="R19" s="54" t="str">
        <x:v>Not disclosed</x:v>
      </x:c>
      <x:c r="S19" s="54"/>
      <x:c r="T19" s="54"/>
      <x:c r="U19" s="54" t="str"/>
      <x:c r="V19" s="54" t="str"/>
      <x:c r="W19" s="54" t="str">
        <x:v>Not disclosed</x:v>
      </x:c>
      <x:c r="X19" s="54" t="n">
        <x:v>2600</x:v>
      </x:c>
      <x:c r="Y19" s="56" t="n">
        <x:f>IF(X19="","",(X19-$B$5)/$B$5)</x:f>
        <x:v>0.6774193548387096</x:v>
      </x:c>
      <x:c r="Z19" s="54" t="str">
        <x:v>Full-time</x:v>
      </x:c>
      <x:c r="AA19" s="54" t="str">
        <x:v>https://jobs.ashbyhq.com/eightsleep/39182d99-3d03-4a9b-85e5-8c8830c9f3fa</x:v>
      </x:c>
      <x:c r="AB19" s="54" t="str"/>
      <x:c r="AC19" s="54" t="str">
        <x:v>Official employer</x:v>
      </x:c>
      <x:c r="AD19" s="54" t="str">
        <x:v>Not applied</x:v>
      </x:c>
      <x:c r="AE19" s="57"/>
      <x:c r="AF19" s="57"/>
      <x:c r="AG19" s="57" t="str">
        <x:v>Open official URL, verify Tunisia hiring; tailor CV and apply.</x:v>
      </x:c>
      <x:c r="AH19" s="57" t="n">
        <x:v>46315</x:v>
      </x:c>
    </x:row>
    <x:row r="20" ht="54" customHeight="1">
      <x:c r="A20" s="78" t="n">
        <x:v>11</x:v>
      </x:c>
      <x:c r="B20" s="78" t="str">
        <x:v>P2 TARGET</x:v>
      </x:c>
      <x:c r="C20" s="54" t="str">
        <x:v>Employer job page verified</x:v>
      </x:c>
      <x:c r="D20" s="54" t="str">
        <x:v>Canonical</x:v>
      </x:c>
      <x:c r="E20" s="54" t="str">
        <x:v>Embedded &amp; Desktop Linux Systems Engineer - Optimisation</x:v>
      </x:c>
      <x:c r="F20" s="54" t="str">
        <x:v>Embedded Linux / IoT</x:v>
      </x:c>
      <x:c r="G20" s="54" t="str">
        <x:v>Remote worldwide; Tunisia contract to confirm</x:v>
      </x:c>
      <x:c r="H20" s="54" t="str">
        <x:v>Potential - confirm Tunisia</x:v>
      </x:c>
      <x:c r="I20" s="54" t="str">
        <x:v>Unspecified</x:v>
      </x:c>
      <x:c r="J20" s="54" t="str">
        <x:v>Not stated</x:v>
      </x:c>
      <x:c r="K20" s="54" t="str">
        <x:v>English</x:v>
      </x:c>
      <x:c r="L20" s="55" t="n">
        <x:v>0.58</x:v>
      </x:c>
      <x:c r="M20" s="54" t="str">
        <x:v>Moderate relative fit; true offer chance unknown</x:v>
      </x:c>
      <x:c r="N20" s="54" t="str">
        <x:v>Investigate Linux performance and silicon integration across IoT hardware, desktop and server systems.</x:v>
      </x:c>
      <x:c r="O20" s="54" t="str">
        <x:v>Linux stack breadth, performance/debugging ability, partner integration and high-quality software engineering.</x:v>
      </x:c>
      <x:c r="P20" s="54" t="str">
        <x:v>Hands-on circuits, embedded platforms and Linux interest fit the direction.</x:v>
      </x:c>
      <x:c r="Q20" s="54" t="str">
        <x:v>Performance profiling and upstream kernel/user-space optimization experience not demonstrated.</x:v>
      </x:c>
      <x:c r="R20" s="54" t="str">
        <x:v>Not disclosed</x:v>
      </x:c>
      <x:c r="S20" s="54"/>
      <x:c r="T20" s="54"/>
      <x:c r="U20" s="54" t="str"/>
      <x:c r="V20" s="54" t="str"/>
      <x:c r="W20" s="54" t="str">
        <x:v>Not disclosed</x:v>
      </x:c>
      <x:c r="X20" s="54" t="n">
        <x:v>2600</x:v>
      </x:c>
      <x:c r="Y20" s="56" t="n">
        <x:f>IF(X20="","",(X20-$B$5)/$B$5)</x:f>
        <x:v>0.6774193548387096</x:v>
      </x:c>
      <x:c r="Z20" s="54" t="str">
        <x:v>Full-time</x:v>
      </x:c>
      <x:c r="AA20" s="54" t="str">
        <x:v>https://canonical.com/careers/3821346/embedded-and-desktop-linux-systems-engineer-optimisation-remote</x:v>
      </x:c>
      <x:c r="AB20" s="54" t="str"/>
      <x:c r="AC20" s="54" t="str">
        <x:v>Official employer</x:v>
      </x:c>
      <x:c r="AD20" s="54" t="str">
        <x:v>Not applied</x:v>
      </x:c>
      <x:c r="AE20" s="57"/>
      <x:c r="AF20" s="57"/>
      <x:c r="AG20" s="57" t="str">
        <x:v>Benchmark an embedded target; publish baseline, bottleneck analysis and measured improvement.</x:v>
      </x:c>
      <x:c r="AH20" s="57" t="n">
        <x:v>46315</x:v>
      </x:c>
    </x:row>
    <x:row r="21" ht="54" customHeight="1">
      <x:c r="A21" s="78" t="n">
        <x:v>12</x:v>
      </x:c>
      <x:c r="B21" s="78" t="str">
        <x:v>P2 TARGET</x:v>
      </x:c>
      <x:c r="C21" s="54" t="str">
        <x:v>Employer job page verified</x:v>
      </x:c>
      <x:c r="D21" s="54" t="str">
        <x:v>Canonical</x:v>
      </x:c>
      <x:c r="E21" s="54" t="str">
        <x:v>Project Manager - Ubuntu Embedded Systems</x:v>
      </x:c>
      <x:c r="F21" s="54" t="str">
        <x:v>Embedded Linux / IoT</x:v>
      </x:c>
      <x:c r="G21" s="54" t="str">
        <x:v>Remote EMEA; Tunisia contract to confirm</x:v>
      </x:c>
      <x:c r="H21" s="54" t="str">
        <x:v>Potential - confirm Tunisia</x:v>
      </x:c>
      <x:c r="I21" s="54" t="str">
        <x:v>Unspecified</x:v>
      </x:c>
      <x:c r="J21" s="54" t="str">
        <x:v>Not stated</x:v>
      </x:c>
      <x:c r="K21" s="54" t="str">
        <x:v>English</x:v>
      </x:c>
      <x:c r="L21" s="55" t="n">
        <x:v>0.57</x:v>
      </x:c>
      <x:c r="M21" s="54" t="str">
        <x:v>Moderate relative fit; true offer chance unknown</x:v>
      </x:c>
      <x:c r="N21" s="54" t="str">
        <x:v>Manage delivery of Linux images on IoT/robotics devices; coordinate OEM/ODM vendors, schedules, and stakeholders.</x:v>
      </x:c>
      <x:c r="O21" s="54" t="str">
        <x:v>End-to-end engineering delivery management, client leadership, technical familiarity with Linux/SoCs.</x:v>
      </x:c>
      <x:c r="P21" s="54" t="str">
        <x:v>Supplier coordination, technical project tracking and electronics procurement are a substantial overlap.</x:v>
      </x:c>
      <x:c r="Q21" s="54" t="str">
        <x:v>Formal ownership of large customer programs, budgets, contracts and project methodology unclear.</x:v>
      </x:c>
      <x:c r="R21" s="54" t="str">
        <x:v>Not disclosed</x:v>
      </x:c>
      <x:c r="S21" s="54"/>
      <x:c r="T21" s="54"/>
      <x:c r="U21" s="54" t="str"/>
      <x:c r="V21" s="54" t="str"/>
      <x:c r="W21" s="54" t="str">
        <x:v>Not disclosed</x:v>
      </x:c>
      <x:c r="X21" s="54" t="n">
        <x:v>2600</x:v>
      </x:c>
      <x:c r="Y21" s="56" t="n">
        <x:f>IF(X21="","",(X21-$B$5)/$B$5)</x:f>
        <x:v>0.6774193548387096</x:v>
      </x:c>
      <x:c r="Z21" s="54" t="str">
        <x:v>Full-time</x:v>
      </x:c>
      <x:c r="AA21" s="54" t="str">
        <x:v>https://canonical.com/careers/2808065/project-manager-ubuntu-embedded-systems-remote</x:v>
      </x:c>
      <x:c r="AB21" s="54" t="str"/>
      <x:c r="AC21" s="54" t="str">
        <x:v>Official employer</x:v>
      </x:c>
      <x:c r="AD21" s="54" t="str">
        <x:v>Not applied</x:v>
      </x:c>
      <x:c r="AE21" s="57"/>
      <x:c r="AF21" s="57"/>
      <x:c r="AG21" s="57" t="str">
        <x:v>Quantify supplier projects, engineering milestones, risks managed and delivered outcomes.</x:v>
      </x:c>
      <x:c r="AH21" s="57" t="n">
        <x:v>46315</x:v>
      </x:c>
    </x:row>
    <x:row r="22" ht="54" customHeight="1">
      <x:c r="A22" s="78" t="n">
        <x:v>13</x:v>
      </x:c>
      <x:c r="B22" s="78" t="str">
        <x:v>P3 STRETCH</x:v>
      </x:c>
      <x:c r="C22" s="54" t="str">
        <x:v>Employer job page verified</x:v>
      </x:c>
      <x:c r="D22" s="54" t="str">
        <x:v>Pantacor</x:v>
      </x:c>
      <x:c r="E22" s="54" t="str">
        <x:v>Senior Embedded Linux Engineer</x:v>
      </x:c>
      <x:c r="F22" s="54" t="str">
        <x:v>Embedded Linux / OTA</x:v>
      </x:c>
      <x:c r="G22" s="54" t="str">
        <x:v>Employer explicitly considers candidates globally for remote work; &lt;10% travel</x:v>
      </x:c>
      <x:c r="H22" s="54" t="str">
        <x:v>Remote worldwide stated; hiring mechanics ask</x:v>
      </x:c>
      <x:c r="I22" s="54" t="str">
        <x:v>Senior</x:v>
      </x:c>
      <x:c r="J22" s="54" t="str">
        <x:v>5+ embedded Linux and 5+ general Linux</x:v>
      </x:c>
      <x:c r="K22" s="54" t="str">
        <x:v>English</x:v>
      </x:c>
      <x:c r="L22" s="55" t="n">
        <x:v>0.55</x:v>
      </x:c>
      <x:c r="M22" s="54" t="str">
        <x:v>Lower relative fit; true offer chance unknown</x:v>
      </x:c>
      <x:c r="N22" s="54" t="str">
        <x:v>Build Pantavisor platform, Linux BSPs, containers and OTA platform integration.</x:v>
      </x:c>
      <x:c r="O22" s="54" t="str">
        <x:v>Kernel, C systems architecture, Linux packages, 5+ years.</x:v>
      </x:c>
      <x:c r="P22" s="54" t="str">
        <x:v>Yocto, C, Linux service/diagnostic projects.</x:v>
      </x:c>
      <x:c r="Q22" s="54" t="str">
        <x:v>Five years deep production Linux and kernel feature ownership.</x:v>
      </x:c>
      <x:c r="R22" s="54" t="str">
        <x:v>Not disclosed</x:v>
      </x:c>
      <x:c r="S22" s="54"/>
      <x:c r="T22" s="54"/>
      <x:c r="U22" s="54" t="str"/>
      <x:c r="V22" s="54" t="str"/>
      <x:c r="W22" s="54" t="str">
        <x:v>Not disclosed</x:v>
      </x:c>
      <x:c r="X22" s="54" t="n">
        <x:v>2600</x:v>
      </x:c>
      <x:c r="Y22" s="56" t="n">
        <x:f>IF(X22="","",(X22-$B$5)/$B$5)</x:f>
        <x:v>0.6774193548387096</x:v>
      </x:c>
      <x:c r="Z22" s="54" t="str">
        <x:v>Full-time</x:v>
      </x:c>
      <x:c r="AA22" s="54" t="str">
        <x:v>https://pantacor.com/careers/j2203-001/</x:v>
      </x:c>
      <x:c r="AB22" s="54" t="str">
        <x:v>https://pantacor.com/careers/</x:v>
      </x:c>
      <x:c r="AC22" s="54" t="str">
        <x:v>Official employer</x:v>
      </x:c>
      <x:c r="AD22" s="54" t="str">
        <x:v>Not applied</x:v>
      </x:c>
      <x:c r="AE22" s="57"/>
      <x:c r="AF22" s="57"/>
      <x:c r="AG22" s="57" t="str">
        <x:v>Open official URL, verify Tunisia hiring; tailor CV and apply.</x:v>
      </x:c>
      <x:c r="AH22" s="57" t="n">
        <x:v>46315</x:v>
      </x:c>
    </x:row>
    <x:row r="23" ht="54" customHeight="1">
      <x:c r="A23" s="78" t="n">
        <x:v>14</x:v>
      </x:c>
      <x:c r="B23" s="78" t="str">
        <x:v>P3 STRETCH</x:v>
      </x:c>
      <x:c r="C23" s="54" t="str">
        <x:v>Employer job page verified</x:v>
      </x:c>
      <x:c r="D23" s="54" t="str">
        <x:v>Canonical</x:v>
      </x:c>
      <x:c r="E23" s="54" t="str">
        <x:v>Ubuntu Core Software Engineer</x:v>
      </x:c>
      <x:c r="F23" s="54" t="str">
        <x:v>Embedded Linux / IoT</x:v>
      </x:c>
      <x:c r="G23" s="54" t="str">
        <x:v>Remote EMEA; Tunisia contract to confirm</x:v>
      </x:c>
      <x:c r="H23" s="54" t="str">
        <x:v>Potential - confirm Tunisia</x:v>
      </x:c>
      <x:c r="I23" s="54" t="str">
        <x:v>Unspecified</x:v>
      </x:c>
      <x:c r="J23" s="54" t="str">
        <x:v>Not stated</x:v>
      </x:c>
      <x:c r="K23" s="54" t="str">
        <x:v>English</x:v>
      </x:c>
      <x:c r="L23" s="55" t="n">
        <x:v>0.54</x:v>
      </x:c>
      <x:c r="M23" s="54" t="str">
        <x:v>Lower relative fit; true offer chance unknown</x:v>
      </x:c>
      <x:c r="N23" s="54" t="str">
        <x:v>Develop secure, updatable embedded Linux software with Ubuntu Core and snap technology.</x:v>
      </x:c>
      <x:c r="O23" s="54" t="str">
        <x:v>Strong Linux development, secure systems, packaging and software quality.</x:v>
      </x:c>
      <x:c r="P23" s="54" t="str">
        <x:v>Embedded architecture background and Linux/Yocto motivation are relevant.</x:v>
      </x:c>
      <x:c r="Q23" s="54" t="str">
        <x:v>Go/snapd, snaps, Ubuntu Core, AppArmor and production CI may be needed.</x:v>
      </x:c>
      <x:c r="R23" s="54" t="str">
        <x:v>Not disclosed</x:v>
      </x:c>
      <x:c r="S23" s="54"/>
      <x:c r="T23" s="54"/>
      <x:c r="U23" s="54" t="str"/>
      <x:c r="V23" s="54" t="str"/>
      <x:c r="W23" s="54" t="str">
        <x:v>Not disclosed</x:v>
      </x:c>
      <x:c r="X23" s="54" t="n">
        <x:v>2600</x:v>
      </x:c>
      <x:c r="Y23" s="56" t="n">
        <x:f>IF(X23="","",(X23-$B$5)/$B$5)</x:f>
        <x:v>0.6774193548387096</x:v>
      </x:c>
      <x:c r="Z23" s="54" t="str">
        <x:v>Full-time</x:v>
      </x:c>
      <x:c r="AA23" s="54" t="str">
        <x:v>https://canonical.com/careers/3182672</x:v>
      </x:c>
      <x:c r="AB23" s="54" t="str"/>
      <x:c r="AC23" s="54" t="str">
        <x:v>Official employer</x:v>
      </x:c>
      <x:c r="AD23" s="54" t="str">
        <x:v>Not applied</x:v>
      </x:c>
      <x:c r="AE23" s="57"/>
      <x:c r="AF23" s="57"/>
      <x:c r="AG23" s="57" t="str">
        <x:v>Deploy a snap on Ubuntu Core, implement and test basic confinement.</x:v>
      </x:c>
      <x:c r="AH23" s="57" t="n">
        <x:v>46315</x:v>
      </x:c>
    </x:row>
    <x:row r="24" ht="54" customHeight="1">
      <x:c r="A24" s="78" t="n">
        <x:v>15</x:v>
      </x:c>
      <x:c r="B24" s="78" t="str">
        <x:v>P3 STRETCH</x:v>
      </x:c>
      <x:c r="C24" s="54" t="str">
        <x:v>Employer job page verified</x:v>
      </x:c>
      <x:c r="D24" s="54" t="str">
        <x:v>Canonical</x:v>
      </x:c>
      <x:c r="E24" s="54" t="str">
        <x:v>Linux Platform Integration - Ubuntu Systems Senior Engineer</x:v>
      </x:c>
      <x:c r="F24" s="54" t="str">
        <x:v>Embedded Linux / silicon enablement</x:v>
      </x:c>
      <x:c r="G24" s="54" t="str">
        <x:v>Worldwide remote; Tunisia contract to confirm</x:v>
      </x:c>
      <x:c r="H24" s="54" t="str">
        <x:v>Potential - confirm Tunisia</x:v>
      </x:c>
      <x:c r="I24" s="54" t="str">
        <x:v>Senior</x:v>
      </x:c>
      <x:c r="J24" s="54" t="str">
        <x:v>Not stated</x:v>
      </x:c>
      <x:c r="K24" s="54" t="str">
        <x:v>English</x:v>
      </x:c>
      <x:c r="L24" s="55" t="n">
        <x:v>0.53</x:v>
      </x:c>
      <x:c r="M24" s="54" t="str">
        <x:v>Lower relative fit; true offer chance unknown</x:v>
      </x:c>
      <x:c r="N24" s="54" t="str">
        <x:v>Integrate next-generation silicon features from kernel to application stack.</x:v>
      </x:c>
      <x:c r="O24" s="54" t="str">
        <x:v>Yocto/Debian packages, C/C++/Python, Linux hardware integration and OSS.</x:v>
      </x:c>
      <x:c r="P24" s="54" t="str">
        <x:v>Yocto custom image and STM32 peripherals.</x:v>
      </x:c>
      <x:c r="Q24" s="54" t="str">
        <x:v>Senior integration experience and upstream OSS commits.</x:v>
      </x:c>
      <x:c r="R24" s="54" t="str">
        <x:v>Not disclosed</x:v>
      </x:c>
      <x:c r="S24" s="54"/>
      <x:c r="T24" s="54"/>
      <x:c r="U24" s="54" t="str"/>
      <x:c r="V24" s="54" t="str"/>
      <x:c r="W24" s="54" t="str">
        <x:v>Not disclosed</x:v>
      </x:c>
      <x:c r="X24" s="54" t="n">
        <x:v>2600</x:v>
      </x:c>
      <x:c r="Y24" s="56" t="n">
        <x:f>IF(X24="","",(X24-$B$5)/$B$5)</x:f>
        <x:v>0.6774193548387096</x:v>
      </x:c>
      <x:c r="Z24" s="54" t="str">
        <x:v>Full-time</x:v>
      </x:c>
      <x:c r="AA24" s="54" t="str">
        <x:v>https://canonical.com/careers/6062471/linux-platform-integration-ubuntu-systems-senior-engineer-remote</x:v>
      </x:c>
      <x:c r="AB24" s="54" t="str"/>
      <x:c r="AC24" s="54" t="str">
        <x:v>Official employer</x:v>
      </x:c>
      <x:c r="AD24" s="54" t="str">
        <x:v>Not applied</x:v>
      </x:c>
      <x:c r="AE24" s="57"/>
      <x:c r="AF24" s="57"/>
      <x:c r="AG24" s="57" t="str">
        <x:v>Open official URL, verify Tunisia hiring; tailor CV and apply.</x:v>
      </x:c>
      <x:c r="AH24" s="57" t="n">
        <x:v>46315</x:v>
      </x:c>
    </x:row>
    <x:row r="25" ht="54" customHeight="1">
      <x:c r="A25" s="78" t="n">
        <x:v>16</x:v>
      </x:c>
      <x:c r="B25" s="78" t="str">
        <x:v>P3 STRETCH</x:v>
      </x:c>
      <x:c r="C25" s="54" t="str">
        <x:v>Employer job page verified</x:v>
      </x:c>
      <x:c r="D25" s="54" t="str">
        <x:v>Canonical</x:v>
      </x:c>
      <x:c r="E25" s="54" t="str">
        <x:v>Software Support Engineer</x:v>
      </x:c>
      <x:c r="F25" s="54" t="str">
        <x:v>Linux support</x:v>
      </x:c>
      <x:c r="G25" s="54" t="str">
        <x:v>Remote worldwide; Tunisia contract to confirm</x:v>
      </x:c>
      <x:c r="H25" s="54" t="str">
        <x:v>Potential - confirm Tunisia</x:v>
      </x:c>
      <x:c r="I25" s="54" t="str">
        <x:v>Unspecified</x:v>
      </x:c>
      <x:c r="J25" s="54" t="str">
        <x:v>Not stated</x:v>
      </x:c>
      <x:c r="K25" s="54" t="str">
        <x:v>English</x:v>
      </x:c>
      <x:c r="L25" s="55" t="n">
        <x:v>0.53</x:v>
      </x:c>
      <x:c r="M25" s="54" t="str">
        <x:v>Lower relative fit; true offer chance unknown</x:v>
      </x:c>
      <x:c r="N25" s="54" t="str">
        <x:v>Handle complex Ubuntu, OpenStack, Kubernetes, storage and networking issues, potentially proposing upstream fixes.</x:v>
      </x:c>
      <x:c r="O25" s="54" t="str">
        <x:v>Linux engineering and cloud infrastructure depth, fixes/backports and customer communication.</x:v>
      </x:c>
      <x:c r="P25" s="54" t="str">
        <x:v>Support background helps, but position is substantially more technical than entry help desk.</x:v>
      </x:c>
      <x:c r="Q25" s="54" t="str">
        <x:v>Production OpenStack/Kubernetes/Ceph and upstream patching experience not evidenced.</x:v>
      </x:c>
      <x:c r="R25" s="54" t="str">
        <x:v>Not disclosed</x:v>
      </x:c>
      <x:c r="S25" s="54"/>
      <x:c r="T25" s="54"/>
      <x:c r="U25" s="54" t="str"/>
      <x:c r="V25" s="54" t="str"/>
      <x:c r="W25" s="54" t="str">
        <x:v>Not disclosed</x:v>
      </x:c>
      <x:c r="X25" s="54" t="n">
        <x:v>2600</x:v>
      </x:c>
      <x:c r="Y25" s="56" t="n">
        <x:f>IF(X25="","",(X25-$B$5)/$B$5)</x:f>
        <x:v>0.6774193548387096</x:v>
      </x:c>
      <x:c r="Z25" s="54" t="str">
        <x:v>Full-time</x:v>
      </x:c>
      <x:c r="AA25" s="54" t="str">
        <x:v>https://canonical.com/careers/6635593/application</x:v>
      </x:c>
      <x:c r="AB25" s="54" t="str"/>
      <x:c r="AC25" s="54" t="str">
        <x:v>Official employer</x:v>
      </x:c>
      <x:c r="AD25" s="54" t="str">
        <x:v>Not applied</x:v>
      </x:c>
      <x:c r="AE25" s="57"/>
      <x:c r="AF25" s="57"/>
      <x:c r="AG25" s="57" t="str">
        <x:v>Build and document OpenStack/Kubernetes mock incident responses; emphasize support cases.</x:v>
      </x:c>
      <x:c r="AH25" s="57" t="n">
        <x:v>46315</x:v>
      </x:c>
    </x:row>
    <x:row r="26" ht="54" customHeight="1">
      <x:c r="A26" s="78" t="n">
        <x:v>17</x:v>
      </x:c>
      <x:c r="B26" s="78" t="str">
        <x:v>P3 STRETCH</x:v>
      </x:c>
      <x:c r="C26" s="54" t="str">
        <x:v>Employer job page verified</x:v>
      </x:c>
      <x:c r="D26" s="54" t="str">
        <x:v>Igalia</x:v>
      </x:c>
      <x:c r="E26" s="54" t="str">
        <x:v>Browsers Developer - WebKit focus</x:v>
      </x:c>
      <x:c r="F26" s="54" t="str">
        <x:v>Embedded adjacent / C++</x:v>
      </x:c>
      <x:c r="G26" s="54" t="str">
        <x:v>Official role explicitly fully remote worldwide</x:v>
      </x:c>
      <x:c r="H26" s="54" t="str">
        <x:v>Remote worldwide stated; hiring mechanics ask</x:v>
      </x:c>
      <x:c r="I26" s="54" t="str">
        <x:v>Unspecified</x:v>
      </x:c>
      <x:c r="J26" s="54" t="str">
        <x:v>Not stated</x:v>
      </x:c>
      <x:c r="K26" s="54" t="str">
        <x:v>English</x:v>
      </x:c>
      <x:c r="L26" s="55" t="n">
        <x:v>0.52</x:v>
      </x:c>
      <x:c r="M26" s="54" t="str">
        <x:v>Lower relative fit; true offer chance unknown</x:v>
      </x:c>
      <x:c r="N26" s="54" t="str">
        <x:v>Maintain WebKit engine, including embedded device and multimedia subsystems.</x:v>
      </x:c>
      <x:c r="O26" s="54" t="str">
        <x:v>C++, open-source workflows, English; browser experience helpful.</x:v>
      </x:c>
      <x:c r="P26" s="54" t="str">
        <x:v>Linux C++, embedded testing and communication.</x:v>
      </x:c>
      <x:c r="Q26" s="54" t="str">
        <x:v>WebKit architecture and feature contribution.</x:v>
      </x:c>
      <x:c r="R26" s="54" t="str">
        <x:v>Not disclosed</x:v>
      </x:c>
      <x:c r="S26" s="54"/>
      <x:c r="T26" s="54"/>
      <x:c r="U26" s="54" t="str"/>
      <x:c r="V26" s="54" t="str"/>
      <x:c r="W26" s="54" t="str">
        <x:v>Not disclosed</x:v>
      </x:c>
      <x:c r="X26" s="54" t="n">
        <x:v>2600</x:v>
      </x:c>
      <x:c r="Y26" s="56" t="n">
        <x:f>IF(X26="","",(X26-$B$5)/$B$5)</x:f>
        <x:v>0.6774193548387096</x:v>
      </x:c>
      <x:c r="Z26" s="54" t="str">
        <x:v>Full-time</x:v>
      </x:c>
      <x:c r="AA26" s="54" t="str">
        <x:v>https://www.igalia.com/jobs/browsers_webkit_position</x:v>
      </x:c>
      <x:c r="AB26" s="54" t="str">
        <x:v>https://www.igalia.com/jobs/open/</x:v>
      </x:c>
      <x:c r="AC26" s="54" t="str">
        <x:v>Official employer</x:v>
      </x:c>
      <x:c r="AD26" s="54" t="str">
        <x:v>Not applied</x:v>
      </x:c>
      <x:c r="AE26" s="57"/>
      <x:c r="AF26" s="57"/>
      <x:c r="AG26" s="57" t="str">
        <x:v>Open official URL, verify Tunisia hiring; tailor CV and apply.</x:v>
      </x:c>
      <x:c r="AH26" s="57" t="n">
        <x:v>46315</x:v>
      </x:c>
    </x:row>
    <x:row r="27" ht="54" customHeight="1">
      <x:c r="A27" s="78" t="n">
        <x:v>18</x:v>
      </x:c>
      <x:c r="B27" s="78" t="str">
        <x:v>P3 STRETCH</x:v>
      </x:c>
      <x:c r="C27" s="54" t="str">
        <x:v>Employer job page verified</x:v>
      </x:c>
      <x:c r="D27" s="54" t="str">
        <x:v>Igalia</x:v>
      </x:c>
      <x:c r="E27" s="54" t="str">
        <x:v>Browsers Developer - Chromium focus</x:v>
      </x:c>
      <x:c r="F27" s="54" t="str">
        <x:v>C++ systems software</x:v>
      </x:c>
      <x:c r="G27" s="54" t="str">
        <x:v>Worldwide remote according to official open positions</x:v>
      </x:c>
      <x:c r="H27" s="54" t="str">
        <x:v>Remote worldwide stated; hiring mechanics ask</x:v>
      </x:c>
      <x:c r="I27" s="54" t="str">
        <x:v>Unspecified</x:v>
      </x:c>
      <x:c r="J27" s="54" t="str">
        <x:v>Not stated</x:v>
      </x:c>
      <x:c r="K27" s="54" t="str">
        <x:v>English</x:v>
      </x:c>
      <x:c r="L27" s="55" t="n">
        <x:v>0.51</x:v>
      </x:c>
      <x:c r="M27" s="54" t="str">
        <x:v>Lower relative fit; true offer chance unknown</x:v>
      </x:c>
      <x:c r="N27" s="54" t="str">
        <x:v>Portable C++ systems development for Chromium/Blink, including device ports.</x:v>
      </x:c>
      <x:c r="O27" s="54" t="str">
        <x:v>Good C++, Git, large open-source codebases and clear English.</x:v>
      </x:c>
      <x:c r="P27" s="54" t="str">
        <x:v>C++ and embedded systems debugging.</x:v>
      </x:c>
      <x:c r="Q27" s="54" t="str">
        <x:v>Large Chromium codebase familiarity.</x:v>
      </x:c>
      <x:c r="R27" s="54" t="str">
        <x:v>Not disclosed</x:v>
      </x:c>
      <x:c r="S27" s="54"/>
      <x:c r="T27" s="54"/>
      <x:c r="U27" s="54" t="str"/>
      <x:c r="V27" s="54" t="str"/>
      <x:c r="W27" s="54" t="str">
        <x:v>Not disclosed</x:v>
      </x:c>
      <x:c r="X27" s="54" t="n">
        <x:v>2600</x:v>
      </x:c>
      <x:c r="Y27" s="56" t="n">
        <x:f>IF(X27="","",(X27-$B$5)/$B$5)</x:f>
        <x:v>0.6774193548387096</x:v>
      </x:c>
      <x:c r="Z27" s="54" t="str">
        <x:v>Full-time</x:v>
      </x:c>
      <x:c r="AA27" s="54" t="str">
        <x:v>https://www.igalia.com/jobs/browsers_chromium_position</x:v>
      </x:c>
      <x:c r="AB27" s="54" t="str">
        <x:v>https://www.igalia.com/jobs/open/</x:v>
      </x:c>
      <x:c r="AC27" s="54" t="str">
        <x:v>Official employer</x:v>
      </x:c>
      <x:c r="AD27" s="54" t="str">
        <x:v>Not applied</x:v>
      </x:c>
      <x:c r="AE27" s="57"/>
      <x:c r="AF27" s="57"/>
      <x:c r="AG27" s="57" t="str">
        <x:v>Open official URL, verify Tunisia hiring; tailor CV and apply.</x:v>
      </x:c>
      <x:c r="AH27" s="57" t="n">
        <x:v>46315</x:v>
      </x:c>
    </x:row>
    <x:row r="28" ht="54" customHeight="1">
      <x:c r="A28" s="78" t="n">
        <x:v>19</x:v>
      </x:c>
      <x:c r="B28" s="78" t="str">
        <x:v>P3 STRETCH</x:v>
      </x:c>
      <x:c r="C28" s="54" t="str">
        <x:v>Employer job page verified</x:v>
      </x:c>
      <x:c r="D28" s="54" t="str">
        <x:v>Canonical</x:v>
      </x:c>
      <x:c r="E28" s="54" t="str">
        <x:v>Linux Devices Engineer - snapd</x:v>
      </x:c>
      <x:c r="F28" s="54" t="str">
        <x:v>Embedded Linux / IoT</x:v>
      </x:c>
      <x:c r="G28" s="54" t="str">
        <x:v>Remote EMEA; Tunisia contract to confirm</x:v>
      </x:c>
      <x:c r="H28" s="54" t="str">
        <x:v>Potential - confirm Tunisia</x:v>
      </x:c>
      <x:c r="I28" s="54" t="str">
        <x:v>Unspecified</x:v>
      </x:c>
      <x:c r="J28" s="54" t="str">
        <x:v>Not stated</x:v>
      </x:c>
      <x:c r="K28" s="54" t="str">
        <x:v>English</x:v>
      </x:c>
      <x:c r="L28" s="55" t="n">
        <x:v>0.5</x:v>
      </x:c>
      <x:c r="M28" s="54" t="str">
        <x:v>Lower relative fit; true offer chance unknown</x:v>
      </x:c>
      <x:c r="N28" s="54" t="str">
        <x:v>Develop snapd/device packaging/security features for Ubuntu on IoT and desktop systems.</x:v>
      </x:c>
      <x:c r="O28" s="54" t="str">
        <x:v>Professional Go/Python/C/C++ development, Linux namespaces/cgroups/AppArmor, software tests.</x:v>
      </x:c>
      <x:c r="P28" s="54" t="str">
        <x:v>C/C++ systems background and Linux skills are useful.</x:v>
      </x:c>
      <x:c r="Q28" s="54" t="str">
        <x:v>Professional coding depth plus snapd and Linux isolation internals not yet demonstrated.</x:v>
      </x:c>
      <x:c r="R28" s="54" t="str">
        <x:v>Not disclosed</x:v>
      </x:c>
      <x:c r="S28" s="54"/>
      <x:c r="T28" s="54"/>
      <x:c r="U28" s="54" t="str"/>
      <x:c r="V28" s="54" t="str"/>
      <x:c r="W28" s="54" t="str">
        <x:v>Not disclosed</x:v>
      </x:c>
      <x:c r="X28" s="54" t="n">
        <x:v>2600</x:v>
      </x:c>
      <x:c r="Y28" s="56" t="n">
        <x:f>IF(X28="","",(X28-$B$5)/$B$5)</x:f>
        <x:v>0.6774193548387096</x:v>
      </x:c>
      <x:c r="Z28" s="54" t="str">
        <x:v>Full-time</x:v>
      </x:c>
      <x:c r="AA28" s="54" t="str">
        <x:v>https://canonical.com/careers/4394058</x:v>
      </x:c>
      <x:c r="AB28" s="54" t="str"/>
      <x:c r="AC28" s="54" t="str">
        <x:v>Official employer</x:v>
      </x:c>
      <x:c r="AD28" s="54" t="str">
        <x:v>Not applied</x:v>
      </x:c>
      <x:c r="AE28" s="57"/>
      <x:c r="AF28" s="57"/>
      <x:c r="AG28" s="57" t="str">
        <x:v>Build a tested Linux daemon and demo namespaces/cgroups/AppArmor behavior.</x:v>
      </x:c>
      <x:c r="AH28" s="57" t="n">
        <x:v>46315</x:v>
      </x:c>
    </x:row>
    <x:row r="29" ht="54" customHeight="1">
      <x:c r="A29" s="78" t="n">
        <x:v>20</x:v>
      </x:c>
      <x:c r="B29" s="78" t="str">
        <x:v>P3 STRETCH</x:v>
      </x:c>
      <x:c r="C29" s="54" t="str">
        <x:v>Employer job page verified</x:v>
      </x:c>
      <x:c r="D29" s="54" t="str">
        <x:v>Canonical</x:v>
      </x:c>
      <x:c r="E29" s="54" t="str">
        <x:v>Senior Ubuntu Embedded IoT System Engineer</x:v>
      </x:c>
      <x:c r="F29" s="54" t="str">
        <x:v>Embedded Linux / silicon enablement</x:v>
      </x:c>
      <x:c r="G29" s="54" t="str">
        <x:v>Remote EMEA; Tunisia contract to confirm</x:v>
      </x:c>
      <x:c r="H29" s="54" t="str">
        <x:v>Potential - confirm Tunisia</x:v>
      </x:c>
      <x:c r="I29" s="54" t="str">
        <x:v>Senior</x:v>
      </x:c>
      <x:c r="J29" s="54" t="str">
        <x:v>Not stated</x:v>
      </x:c>
      <x:c r="K29" s="54" t="str">
        <x:v>English</x:v>
      </x:c>
      <x:c r="L29" s="55" t="n">
        <x:v>0.5</x:v>
      </x:c>
      <x:c r="M29" s="54" t="str">
        <x:v>Lower relative fit; true offer chance unknown</x:v>
      </x:c>
      <x:c r="N29" s="54" t="str">
        <x:v>Ubuntu enablement on partner hardware, OEM issue triage and root cause analysis.</x:v>
      </x:c>
      <x:c r="O29" s="54" t="str">
        <x:v>BSP bring-up, ARM boot, U-Boot, Linux kernel, Python/C/Bash.</x:v>
      </x:c>
      <x:c r="P29" s="54" t="str">
        <x:v>Hardware and Linux interfaces, Yocto/STM32, supplier-facing coordination.</x:v>
      </x:c>
      <x:c r="Q29" s="54" t="str">
        <x:v>Production BSP bring-up and upstream patch history.</x:v>
      </x:c>
      <x:c r="R29" s="54" t="str">
        <x:v>Not disclosed</x:v>
      </x:c>
      <x:c r="S29" s="54"/>
      <x:c r="T29" s="54"/>
      <x:c r="U29" s="54" t="str"/>
      <x:c r="V29" s="54" t="str"/>
      <x:c r="W29" s="54" t="str">
        <x:v>Not disclosed</x:v>
      </x:c>
      <x:c r="X29" s="54" t="n">
        <x:v>2600</x:v>
      </x:c>
      <x:c r="Y29" s="56" t="n">
        <x:f>IF(X29="","",(X29-$B$5)/$B$5)</x:f>
        <x:v>0.6774193548387096</x:v>
      </x:c>
      <x:c r="Z29" s="54" t="str">
        <x:v>Full-time</x:v>
      </x:c>
      <x:c r="AA29" s="54" t="str">
        <x:v>https://canonical.com/careers/4706463</x:v>
      </x:c>
      <x:c r="AB29" s="54" t="str"/>
      <x:c r="AC29" s="54" t="str">
        <x:v>Official employer</x:v>
      </x:c>
      <x:c r="AD29" s="54" t="str">
        <x:v>Not applied</x:v>
      </x:c>
      <x:c r="AE29" s="57"/>
      <x:c r="AF29" s="57"/>
      <x:c r="AG29" s="57" t="str">
        <x:v>Open official URL, verify Tunisia hiring; tailor CV and apply.</x:v>
      </x:c>
      <x:c r="AH29" s="57" t="n">
        <x:v>46315</x:v>
      </x:c>
    </x:row>
    <x:row r="30" ht="54" customHeight="1">
      <x:c r="A30" s="78" t="n">
        <x:v>21</x:v>
      </x:c>
      <x:c r="B30" s="78" t="str">
        <x:v>P3 STRETCH</x:v>
      </x:c>
      <x:c r="C30" s="54" t="str">
        <x:v>Employer job page verified</x:v>
      </x:c>
      <x:c r="D30" s="54" t="str">
        <x:v>Canonical</x:v>
      </x:c>
      <x:c r="E30" s="54" t="str">
        <x:v>Linux Kernel Engineer (general track)</x:v>
      </x:c>
      <x:c r="F30" s="54" t="str">
        <x:v>Linux kernel / drivers</x:v>
      </x:c>
      <x:c r="G30" s="54" t="str">
        <x:v>Worldwide remote; Tunisia contract to confirm</x:v>
      </x:c>
      <x:c r="H30" s="54" t="str">
        <x:v>Potential - confirm Tunisia</x:v>
      </x:c>
      <x:c r="I30" s="54" t="str">
        <x:v>Various; kernel experience essential</x:v>
      </x:c>
      <x:c r="J30" s="54" t="str">
        <x:v>Not stated</x:v>
      </x:c>
      <x:c r="K30" s="54" t="str">
        <x:v>English</x:v>
      </x:c>
      <x:c r="L30" s="55" t="n">
        <x:v>0.49</x:v>
      </x:c>
      <x:c r="M30" s="54" t="str">
        <x:v>Lower relative fit; true offer chance unknown</x:v>
      </x:c>
      <x:c r="N30" s="54" t="str">
        <x:v>Contribute to Ubuntu kernel branches and hardware-specific regressions.</x:v>
      </x:c>
      <x:c r="O30" s="54" t="str">
        <x:v>Linux kernel/C development, patches, open-source workflow.</x:v>
      </x:c>
      <x:c r="P30" s="54" t="str">
        <x:v>C, embedded experience, Linux coursework.</x:v>
      </x:c>
      <x:c r="Q30" s="54" t="str">
        <x:v>Mainline kernel patches and complex driver development.</x:v>
      </x:c>
      <x:c r="R30" s="54" t="str">
        <x:v>Not disclosed</x:v>
      </x:c>
      <x:c r="S30" s="54"/>
      <x:c r="T30" s="54"/>
      <x:c r="U30" s="54" t="str"/>
      <x:c r="V30" s="54" t="str"/>
      <x:c r="W30" s="54" t="str">
        <x:v>Not disclosed</x:v>
      </x:c>
      <x:c r="X30" s="54" t="n">
        <x:v>2600</x:v>
      </x:c>
      <x:c r="Y30" s="56" t="n">
        <x:f>IF(X30="","",(X30-$B$5)/$B$5)</x:f>
        <x:v>0.6774193548387096</x:v>
      </x:c>
      <x:c r="Z30" s="54" t="str">
        <x:v>Full-time</x:v>
      </x:c>
      <x:c r="AA30" s="54" t="str">
        <x:v>https://canonical.com/careers/5151903</x:v>
      </x:c>
      <x:c r="AB30" s="54" t="str"/>
      <x:c r="AC30" s="54" t="str">
        <x:v>Official employer</x:v>
      </x:c>
      <x:c r="AD30" s="54" t="str">
        <x:v>Not applied</x:v>
      </x:c>
      <x:c r="AE30" s="57"/>
      <x:c r="AF30" s="57"/>
      <x:c r="AG30" s="57" t="str">
        <x:v>Open official URL, verify Tunisia hiring; tailor CV and apply.</x:v>
      </x:c>
      <x:c r="AH30" s="57" t="n">
        <x:v>46315</x:v>
      </x:c>
    </x:row>
    <x:row r="31" ht="54" customHeight="1">
      <x:c r="A31" s="78" t="n">
        <x:v>22</x:v>
      </x:c>
      <x:c r="B31" s="78" t="str">
        <x:v>P3 STRETCH</x:v>
      </x:c>
      <x:c r="C31" s="54" t="str">
        <x:v>Employer job page verified</x:v>
      </x:c>
      <x:c r="D31" s="54" t="str">
        <x:v>Eight Sleep</x:v>
      </x:c>
      <x:c r="E31" s="54" t="str">
        <x:v>Senior Firmware Engineer, Connectivity</x:v>
      </x:c>
      <x:c r="F31" s="54" t="str">
        <x:v>Firmware / wireless / IoT</x:v>
      </x:c>
      <x:c r="G31" s="54" t="str">
        <x:v>Remote listed; posting does not confirm Tunisia</x:v>
      </x:c>
      <x:c r="H31" s="54" t="str">
        <x:v>Location unconfirmed - ask before applying</x:v>
      </x:c>
      <x:c r="I31" s="54" t="str">
        <x:v>Senior</x:v>
      </x:c>
      <x:c r="J31" s="54" t="str">
        <x:v>5+ embedded, 3+ shipping BLE</x:v>
      </x:c>
      <x:c r="K31" s="54" t="str">
        <x:v>English</x:v>
      </x:c>
      <x:c r="L31" s="55" t="n">
        <x:v>0.48</x:v>
      </x:c>
      <x:c r="M31" s="54" t="str">
        <x:v>Lower relative fit; true offer chance unknown</x:v>
      </x:c>
      <x:c r="N31" s="54" t="str">
        <x:v>BLE stack, security and connected product firmware.</x:v>
      </x:c>
      <x:c r="O31" s="54" t="str">
        <x:v>BLE GAP/GATT/SMP, Nordic/Zephyr, embedded C/C++ and low-power MCU.</x:v>
      </x:c>
      <x:c r="P31" s="54" t="str">
        <x:v>C/C++, interfaces and RTOS.</x:v>
      </x:c>
      <x:c r="Q31" s="54" t="str">
        <x:v>Production BLE 3+ years and connectivity stack internals.</x:v>
      </x:c>
      <x:c r="R31" s="54" t="str">
        <x:v>$140,000-$180,000 US-listed range; not Tunisia estimate</x:v>
      </x:c>
      <x:c r="S31" s="54" t="n">
        <x:v>140000</x:v>
      </x:c>
      <x:c r="T31" s="54" t="n">
        <x:v>180000</x:v>
      </x:c>
      <x:c r="U31" s="54" t="str">
        <x:v>USD</x:v>
      </x:c>
      <x:c r="V31" s="54" t="str">
        <x:v>year</x:v>
      </x:c>
      <x:c r="W31" s="54" t="str">
        <x:v>Employer disclosed; geo not transferable</x:v>
      </x:c>
      <x:c r="X31" s="54" t="n">
        <x:v>2600</x:v>
      </x:c>
      <x:c r="Y31" s="56" t="n">
        <x:f>IF(X31="","",(X31-$B$5)/$B$5)</x:f>
        <x:v>0.6774193548387096</x:v>
      </x:c>
      <x:c r="Z31" s="54" t="str">
        <x:v>Full-time</x:v>
      </x:c>
      <x:c r="AA31" s="54" t="str">
        <x:v>https://jobs.ashbyhq.com/eightsleep/63460635-19a5-46b5-89a9-7b307abeee6a</x:v>
      </x:c>
      <x:c r="AB31" s="54" t="str"/>
      <x:c r="AC31" s="54" t="str">
        <x:v>Official employer</x:v>
      </x:c>
      <x:c r="AD31" s="54" t="str">
        <x:v>Not applied</x:v>
      </x:c>
      <x:c r="AE31" s="57"/>
      <x:c r="AF31" s="57"/>
      <x:c r="AG31" s="57" t="str">
        <x:v>Open official URL, verify Tunisia hiring; tailor CV and apply.</x:v>
      </x:c>
      <x:c r="AH31" s="57" t="n">
        <x:v>46315</x:v>
      </x:c>
    </x:row>
    <x:row r="32" ht="54" customHeight="1">
      <x:c r="A32" s="78" t="n">
        <x:v>23</x:v>
      </x:c>
      <x:c r="B32" s="78" t="str">
        <x:v>P3 STRETCH</x:v>
      </x:c>
      <x:c r="C32" s="54" t="str">
        <x:v>Employer job page verified</x:v>
      </x:c>
      <x:c r="D32" s="54" t="str">
        <x:v>Canonical</x:v>
      </x:c>
      <x:c r="E32" s="54" t="str">
        <x:v>Automotive &amp; Industrial Software Engineer</x:v>
      </x:c>
      <x:c r="F32" s="54" t="str">
        <x:v>Embedded Linux / IoT</x:v>
      </x:c>
      <x:c r="G32" s="54" t="str">
        <x:v>Remote EMEA; Tunisia contract to confirm</x:v>
      </x:c>
      <x:c r="H32" s="54" t="str">
        <x:v>Potential - confirm Tunisia</x:v>
      </x:c>
      <x:c r="I32" s="54" t="str">
        <x:v>Unspecified</x:v>
      </x:c>
      <x:c r="J32" s="54" t="str">
        <x:v>Not stated</x:v>
      </x:c>
      <x:c r="K32" s="54" t="str">
        <x:v>English</x:v>
      </x:c>
      <x:c r="L32" s="55" t="n">
        <x:v>0.47</x:v>
      </x:c>
      <x:c r="M32" s="54" t="str">
        <x:v>Lower relative fit; true offer chance unknown</x:v>
      </x:c>
      <x:c r="N32" s="54" t="str">
        <x:v>Build dependable embedded/Linux software for automotive and industrial standards; verification/validation.</x:v>
      </x:c>
      <x:c r="O32" s="54" t="str">
        <x:v>Professional C/C++/Python, complex Linux systems, automotive/industrial safety/security standards in practice.</x:v>
      </x:c>
      <x:c r="P32" s="54" t="str">
        <x:v>BMS electronics and test/validation experience closely match the industry domain.</x:v>
      </x:c>
      <x:c r="Q32" s="54" t="str">
        <x:v>Formal ISO 26262/IEC 61508/IEC 62443 or ASPICE and production safety software not evidenced.</x:v>
      </x:c>
      <x:c r="R32" s="54" t="str">
        <x:v>Not disclosed</x:v>
      </x:c>
      <x:c r="S32" s="54"/>
      <x:c r="T32" s="54"/>
      <x:c r="U32" s="54" t="str"/>
      <x:c r="V32" s="54" t="str"/>
      <x:c r="W32" s="54" t="str">
        <x:v>Not disclosed</x:v>
      </x:c>
      <x:c r="X32" s="54" t="n">
        <x:v>2600</x:v>
      </x:c>
      <x:c r="Y32" s="56" t="n">
        <x:f>IF(X32="","",(X32-$B$5)/$B$5)</x:f>
        <x:v>0.6774193548387096</x:v>
      </x:c>
      <x:c r="Z32" s="54" t="str">
        <x:v>Full-time</x:v>
      </x:c>
      <x:c r="AA32" s="54" t="str">
        <x:v>https://canonical.com/careers/7785136</x:v>
      </x:c>
      <x:c r="AB32" s="54" t="str"/>
      <x:c r="AC32" s="54" t="str">
        <x:v>Official employer</x:v>
      </x:c>
      <x:c r="AD32" s="54" t="str">
        <x:v>Not applied</x:v>
      </x:c>
      <x:c r="AE32" s="57"/>
      <x:c r="AF32" s="57"/>
      <x:c r="AG32" s="57" t="str">
        <x:v>Translate BMS validation into a requirements-to-test traceability example.</x:v>
      </x:c>
      <x:c r="AH32" s="57" t="n">
        <x:v>46315</x:v>
      </x:c>
    </x:row>
    <x:row r="33" ht="54" customHeight="1">
      <x:c r="A33" s="78" t="n">
        <x:v>24</x:v>
      </x:c>
      <x:c r="B33" s="78" t="str">
        <x:v>P3 STRETCH</x:v>
      </x:c>
      <x:c r="C33" s="54" t="str">
        <x:v>Employer job page verified</x:v>
      </x:c>
      <x:c r="D33" s="54" t="str">
        <x:v>Canonical</x:v>
      </x:c>
      <x:c r="E33" s="54" t="str">
        <x:v>Embedded Linux Senior Software Engineer - Optimisation</x:v>
      </x:c>
      <x:c r="F33" s="54" t="str">
        <x:v>Embedded Linux / performance</x:v>
      </x:c>
      <x:c r="G33" s="54" t="str">
        <x:v>Worldwide remote; Tunisia contract to confirm</x:v>
      </x:c>
      <x:c r="H33" s="54" t="str">
        <x:v>Potential - confirm Tunisia</x:v>
      </x:c>
      <x:c r="I33" s="54" t="str">
        <x:v>Senior</x:v>
      </x:c>
      <x:c r="J33" s="54" t="str">
        <x:v>Not stated</x:v>
      </x:c>
      <x:c r="K33" s="54" t="str">
        <x:v>English</x:v>
      </x:c>
      <x:c r="L33" s="55" t="n">
        <x:v>0.47</x:v>
      </x:c>
      <x:c r="M33" s="54" t="str">
        <x:v>Lower relative fit; true offer chance unknown</x:v>
      </x:c>
      <x:c r="N33" s="54" t="str">
        <x:v>Optimize Linux software and silicon enablement across PC, edge and IoT.</x:v>
      </x:c>
      <x:c r="O33" s="54" t="str">
        <x:v>Performance, systems integration, C/C++/Python, Linux stacks.</x:v>
      </x:c>
      <x:c r="P33" s="54" t="str">
        <x:v>Embedded systems/Yocto and debugging.</x:v>
      </x:c>
      <x:c r="Q33" s="54" t="str">
        <x:v>Senior performance profiling and upstream history.</x:v>
      </x:c>
      <x:c r="R33" s="54" t="str">
        <x:v>Not disclosed</x:v>
      </x:c>
      <x:c r="S33" s="54"/>
      <x:c r="T33" s="54"/>
      <x:c r="U33" s="54" t="str"/>
      <x:c r="V33" s="54" t="str"/>
      <x:c r="W33" s="54" t="str">
        <x:v>Not disclosed</x:v>
      </x:c>
      <x:c r="X33" s="54" t="n">
        <x:v>2600</x:v>
      </x:c>
      <x:c r="Y33" s="56" t="n">
        <x:f>IF(X33="","",(X33-$B$5)/$B$5)</x:f>
        <x:v>0.6774193548387096</x:v>
      </x:c>
      <x:c r="Z33" s="54" t="str">
        <x:v>Full-time</x:v>
      </x:c>
      <x:c r="AA33" s="54" t="str">
        <x:v>https://canonical.com/careers/6189337/embedded-linux-senior-software-engineer-optimisation-remote</x:v>
      </x:c>
      <x:c r="AB33" s="54" t="str"/>
      <x:c r="AC33" s="54" t="str">
        <x:v>Official employer</x:v>
      </x:c>
      <x:c r="AD33" s="54" t="str">
        <x:v>Not applied</x:v>
      </x:c>
      <x:c r="AE33" s="57"/>
      <x:c r="AF33" s="57"/>
      <x:c r="AG33" s="57" t="str">
        <x:v>Open official URL, verify Tunisia hiring; tailor CV and apply.</x:v>
      </x:c>
      <x:c r="AH33" s="57" t="n">
        <x:v>46315</x:v>
      </x:c>
    </x:row>
    <x:row r="34" ht="54" customHeight="1">
      <x:c r="A34" s="78" t="n">
        <x:v>25</x:v>
      </x:c>
      <x:c r="B34" s="78" t="str">
        <x:v>P3 STRETCH</x:v>
      </x:c>
      <x:c r="C34" s="54" t="str">
        <x:v>Employer job page verified</x:v>
      </x:c>
      <x:c r="D34" s="54" t="str">
        <x:v>Canonical</x:v>
      </x:c>
      <x:c r="E34" s="54" t="str">
        <x:v>Graduate Software Engineer, Open Source &amp; Linux</x:v>
      </x:c>
      <x:c r="F34" s="54" t="str">
        <x:v>Linux software / distribution</x:v>
      </x:c>
      <x:c r="G34" s="54" t="str">
        <x:v>Remote worldwide; Tunisia contract to confirm</x:v>
      </x:c>
      <x:c r="H34" s="54" t="str">
        <x:v>Potential - confirm Tunisia</x:v>
      </x:c>
      <x:c r="I34" s="54" t="str">
        <x:v>Graduate/Associate</x:v>
      </x:c>
      <x:c r="J34" s="54" t="str">
        <x:v>Not stated</x:v>
      </x:c>
      <x:c r="K34" s="54" t="str">
        <x:v>English</x:v>
      </x:c>
      <x:c r="L34" s="55" t="n">
        <x:v>0.43</x:v>
      </x:c>
      <x:c r="M34" s="54" t="str">
        <x:v>Lower relative fit; true offer chance unknown</x:v>
      </x:c>
      <x:c r="N34" s="54" t="str">
        <x:v>Graduate-wide placement into Ubuntu software teams, using Linux and languages including C/C++ and Python.</x:v>
      </x:c>
      <x:c r="O34" s="54" t="str">
        <x:v>2025 or 2026 graduate, exceptional academic evidence, STEM/software courses, personal projects.</x:v>
      </x:c>
      <x:c r="P34" s="54" t="str">
        <x:v>If your graduation year qualifies, embedded C and Linux work could support application.</x:v>
      </x:c>
      <x:c r="Q34" s="54" t="str">
        <x:v>Graduation year is unknown; if outside the explicitly named years, skip.</x:v>
      </x:c>
      <x:c r="R34" s="54" t="str">
        <x:v>Not disclosed</x:v>
      </x:c>
      <x:c r="S34" s="54"/>
      <x:c r="T34" s="54"/>
      <x:c r="U34" s="54" t="str"/>
      <x:c r="V34" s="54" t="str"/>
      <x:c r="W34" s="54" t="str">
        <x:v>Not disclosed</x:v>
      </x:c>
      <x:c r="X34" s="54" t="n">
        <x:v>2600</x:v>
      </x:c>
      <x:c r="Y34" s="56" t="n">
        <x:f>IF(X34="","",(X34-$B$5)/$B$5)</x:f>
        <x:v>0.6774193548387096</x:v>
      </x:c>
      <x:c r="Z34" s="54" t="str">
        <x:v>Full-time</x:v>
      </x:c>
      <x:c r="AA34" s="54" t="str">
        <x:v>https://canonical.com/careers/8249005/graduate-software-engineer-open-source-and-linux-canonical-ubuntu-remote</x:v>
      </x:c>
      <x:c r="AB34" s="54" t="str"/>
      <x:c r="AC34" s="54" t="str">
        <x:v>Official employer</x:v>
      </x:c>
      <x:c r="AD34" s="54" t="str">
        <x:v>Not applied</x:v>
      </x:c>
      <x:c r="AE34" s="57"/>
      <x:c r="AF34" s="57"/>
      <x:c r="AG34" s="57" t="str">
        <x:v>Check graduation year before spending time on this application.</x:v>
      </x:c>
      <x:c r="AH34" s="57" t="n">
        <x:v>46315</x:v>
      </x:c>
    </x:row>
    <x:row r="35" ht="54" customHeight="1">
      <x:c r="A35" s="78" t="n">
        <x:v>26</x:v>
      </x:c>
      <x:c r="B35" s="78" t="str">
        <x:v>LOW FIT</x:v>
      </x:c>
      <x:c r="C35" s="54" t="str">
        <x:v>Employer job page verified</x:v>
      </x:c>
      <x:c r="D35" s="54" t="str">
        <x:v>Igalia</x:v>
      </x:c>
      <x:c r="E35" s="54" t="str">
        <x:v>Graphics Developer</x:v>
      </x:c>
      <x:c r="F35" s="54" t="str">
        <x:v>Linux graphics / drivers</x:v>
      </x:c>
      <x:c r="G35" s="54" t="str">
        <x:v>Worldwide remote / distributed</x:v>
      </x:c>
      <x:c r="H35" s="54" t="str">
        <x:v>Remote worldwide stated; hiring mechanics ask</x:v>
      </x:c>
      <x:c r="I35" s="54" t="str">
        <x:v>Mid / unspecified</x:v>
      </x:c>
      <x:c r="J35" s="54" t="str">
        <x:v>Not stated</x:v>
      </x:c>
      <x:c r="K35" s="54" t="str">
        <x:v>English</x:v>
      </x:c>
      <x:c r="L35" s="55" t="n">
        <x:v>0.41</x:v>
      </x:c>
      <x:c r="M35" s="54" t="str">
        <x:v>Major skill gaps; true offer chance unknown</x:v>
      </x:c>
      <x:c r="N35" s="54" t="str">
        <x:v>Mesa, DRM/KMS, Wayland and GPU driver work.</x:v>
      </x:c>
      <x:c r="O35" s="54" t="str">
        <x:v>Graphics drivers and open-source participation.</x:v>
      </x:c>
      <x:c r="P35" s="54" t="str">
        <x:v>Embedded electronics and Linux fundamentals.</x:v>
      </x:c>
      <x:c r="Q35" s="54" t="str">
        <x:v>No production Mesa/OpenGL/Vulkan/DRM work.</x:v>
      </x:c>
      <x:c r="R35" s="54" t="str">
        <x:v>Not disclosed</x:v>
      </x:c>
      <x:c r="S35" s="54"/>
      <x:c r="T35" s="54"/>
      <x:c r="U35" s="54" t="str"/>
      <x:c r="V35" s="54" t="str"/>
      <x:c r="W35" s="54" t="str">
        <x:v>Not disclosed</x:v>
      </x:c>
      <x:c r="X35" s="54" t="n">
        <x:v>2600</x:v>
      </x:c>
      <x:c r="Y35" s="56" t="n">
        <x:f>IF(X35="","",(X35-$B$5)/$B$5)</x:f>
        <x:v>0.6774193548387096</x:v>
      </x:c>
      <x:c r="Z35" s="54" t="str">
        <x:v>Full-time</x:v>
      </x:c>
      <x:c r="AA35" s="54" t="str">
        <x:v>https://www.igalia.com/jobs/graphics_developer</x:v>
      </x:c>
      <x:c r="AB35" s="54" t="str">
        <x:v>https://www.igalia.com/jobs/open/</x:v>
      </x:c>
      <x:c r="AC35" s="54" t="str">
        <x:v>Official employer</x:v>
      </x:c>
      <x:c r="AD35" s="54" t="str">
        <x:v>Not applied</x:v>
      </x:c>
      <x:c r="AE35" s="57"/>
      <x:c r="AF35" s="57"/>
      <x:c r="AG35" s="57" t="str">
        <x:v>Open official URL, verify Tunisia hiring; tailor CV and apply.</x:v>
      </x:c>
      <x:c r="AH35" s="57" t="n">
        <x:v>46315</x:v>
      </x:c>
    </x:row>
    <x:row r="36" ht="54" customHeight="1">
      <x:c r="A36" s="78" t="n">
        <x:v>27</x:v>
      </x:c>
      <x:c r="B36" s="78" t="str">
        <x:v>LOW FIT</x:v>
      </x:c>
      <x:c r="C36" s="54" t="str">
        <x:v>Official role listed; detail requires review</x:v>
      </x:c>
      <x:c r="D36" s="54" t="str">
        <x:v>Pantacor</x:v>
      </x:c>
      <x:c r="E36" s="54" t="str">
        <x:v>Senior DevOps &amp; Cloud Engineer</x:v>
      </x:c>
      <x:c r="F36" s="54" t="str">
        <x:v>Linux / IoT infrastructure</x:v>
      </x:c>
      <x:c r="G36" s="54" t="str">
        <x:v>Remote / geography not confirmed; employer career list</x:v>
      </x:c>
      <x:c r="H36" s="54" t="str">
        <x:v>Potential - confirm Tunisia</x:v>
      </x:c>
      <x:c r="I36" s="54" t="str">
        <x:v>Senior</x:v>
      </x:c>
      <x:c r="J36" s="54" t="str">
        <x:v>Not stated</x:v>
      </x:c>
      <x:c r="K36" s="54" t="str">
        <x:v>English</x:v>
      </x:c>
      <x:c r="L36" s="55" t="n">
        <x:v>0.39</x:v>
      </x:c>
      <x:c r="M36" s="54" t="str">
        <x:v>Major skill gaps; true offer chance unknown</x:v>
      </x:c>
      <x:c r="N36" s="54" t="str">
        <x:v>Remote cloud and infrastructure role supporting an embedded-device management product.</x:v>
      </x:c>
      <x:c r="O36" s="54" t="str">
        <x:v>Senior cloud ops, Linux/DevOps.</x:v>
      </x:c>
      <x:c r="P36" s="54" t="str">
        <x:v>Linux debugging and Yocto/IoT context.</x:v>
      </x:c>
      <x:c r="Q36" s="54" t="str">
        <x:v>Professional cloud operations and deep CI/CD experience.</x:v>
      </x:c>
      <x:c r="R36" s="54" t="str">
        <x:v>Not disclosed</x:v>
      </x:c>
      <x:c r="S36" s="54"/>
      <x:c r="T36" s="54"/>
      <x:c r="U36" s="54" t="str"/>
      <x:c r="V36" s="54" t="str"/>
      <x:c r="W36" s="54" t="str">
        <x:v>Not disclosed</x:v>
      </x:c>
      <x:c r="X36" s="54" t="n">
        <x:v>2600</x:v>
      </x:c>
      <x:c r="Y36" s="56" t="n">
        <x:f>IF(X36="","",(X36-$B$5)/$B$5)</x:f>
        <x:v>0.6774193548387096</x:v>
      </x:c>
      <x:c r="Z36" s="54" t="str">
        <x:v>Full-time</x:v>
      </x:c>
      <x:c r="AA36" s="54" t="str">
        <x:v>https://pantacor.com/careers/</x:v>
      </x:c>
      <x:c r="AB36" s="54" t="str"/>
      <x:c r="AC36" s="54" t="str">
        <x:v>Official employer</x:v>
      </x:c>
      <x:c r="AD36" s="54" t="str">
        <x:v>Not applied</x:v>
      </x:c>
      <x:c r="AE36" s="57"/>
      <x:c r="AF36" s="57"/>
      <x:c r="AG36" s="57" t="str">
        <x:v>Employer career page lists role; verify active apply form before investing time.</x:v>
      </x:c>
      <x:c r="AH36" s="57" t="n">
        <x:v>46315</x:v>
      </x:c>
    </x:row>
    <x:row r="37" ht="54" customHeight="1">
      <x:c r="A37" s="78" t="n">
        <x:v>28</x:v>
      </x:c>
      <x:c r="B37" s="78" t="str">
        <x:v>LOW FIT</x:v>
      </x:c>
      <x:c r="C37" s="54" t="str">
        <x:v>Employer job page verified</x:v>
      </x:c>
      <x:c r="D37" s="54" t="str">
        <x:v>Canonical</x:v>
      </x:c>
      <x:c r="E37" s="54" t="str">
        <x:v>Software Engineer - Edge AI</x:v>
      </x:c>
      <x:c r="F37" s="54" t="str">
        <x:v>Embedded Linux / IoT</x:v>
      </x:c>
      <x:c r="G37" s="54" t="str">
        <x:v>Remote EMEA; Tunisia contract to confirm</x:v>
      </x:c>
      <x:c r="H37" s="54" t="str">
        <x:v>Potential - confirm Tunisia</x:v>
      </x:c>
      <x:c r="I37" s="54" t="str">
        <x:v>Unspecified</x:v>
      </x:c>
      <x:c r="J37" s="54" t="str">
        <x:v>Not stated</x:v>
      </x:c>
      <x:c r="K37" s="54" t="str">
        <x:v>English</x:v>
      </x:c>
      <x:c r="L37" s="55" t="n">
        <x:v>0.38</x:v>
      </x:c>
      <x:c r="M37" s="54" t="str">
        <x:v>Major skill gaps; true offer chance unknown</x:v>
      </x:c>
      <x:c r="N37" s="54" t="str">
        <x:v>Build and ship Linux edge AI inference packages for GPUs/NPUs and embedded gateways.</x:v>
      </x:c>
      <x:c r="O37" s="54" t="str">
        <x:v>At least 3 years professional Go/C++ software development, Linux app engineering, packaging/CI.</x:v>
      </x:c>
      <x:c r="P37" s="54" t="str">
        <x:v>Embedded systems and C++ are adjacent.</x:v>
      </x:c>
      <x:c r="Q37" s="54" t="str">
        <x:v>Professional software years and AI packaging experience not established.</x:v>
      </x:c>
      <x:c r="R37" s="54" t="str">
        <x:v>Not disclosed</x:v>
      </x:c>
      <x:c r="S37" s="54"/>
      <x:c r="T37" s="54"/>
      <x:c r="U37" s="54" t="str"/>
      <x:c r="V37" s="54" t="str"/>
      <x:c r="W37" s="54" t="str">
        <x:v>Not disclosed</x:v>
      </x:c>
      <x:c r="X37" s="54" t="n">
        <x:v>2600</x:v>
      </x:c>
      <x:c r="Y37" s="56" t="n">
        <x:f>IF(X37="","",(X37-$B$5)/$B$5)</x:f>
        <x:v>0.6774193548387096</x:v>
      </x:c>
      <x:c r="Z37" s="54" t="str">
        <x:v>Full-time</x:v>
      </x:c>
      <x:c r="AA37" s="54" t="str">
        <x:v>https://canonical.com/careers/2614095</x:v>
      </x:c>
      <x:c r="AB37" s="54" t="str"/>
      <x:c r="AC37" s="54" t="str">
        <x:v>Official employer</x:v>
      </x:c>
      <x:c r="AD37" s="54" t="str">
        <x:v>Not applied</x:v>
      </x:c>
      <x:c r="AE37" s="57"/>
      <x:c r="AF37" s="57"/>
      <x:c r="AG37" s="57" t="str">
        <x:v>Only pursue after proving substantial professional C++ and packaging work.</x:v>
      </x:c>
      <x:c r="AH37" s="57" t="n">
        <x:v>46315</x:v>
      </x:c>
    </x:row>
    <x:row r="38" ht="54" customHeight="1">
      <x:c r="A38" s="78" t="n">
        <x:v>29</x:v>
      </x:c>
      <x:c r="B38" s="78" t="str">
        <x:v>LOW FIT</x:v>
      </x:c>
      <x:c r="C38" s="54" t="str">
        <x:v>Employer job page verified</x:v>
      </x:c>
      <x:c r="D38" s="54" t="str">
        <x:v>Igalia</x:v>
      </x:c>
      <x:c r="E38" s="54" t="str">
        <x:v>Web Platform Engineer</x:v>
      </x:c>
      <x:c r="F38" s="54" t="str">
        <x:v>Systems / browser technology</x:v>
      </x:c>
      <x:c r="G38" s="54" t="str">
        <x:v>Worldwide remote / distributed</x:v>
      </x:c>
      <x:c r="H38" s="54" t="str">
        <x:v>Remote worldwide stated; hiring mechanics ask</x:v>
      </x:c>
      <x:c r="I38" s="54" t="str">
        <x:v>Mid / unspecified</x:v>
      </x:c>
      <x:c r="J38" s="54" t="str">
        <x:v>Not stated</x:v>
      </x:c>
      <x:c r="K38" s="54" t="str">
        <x:v>English</x:v>
      </x:c>
      <x:c r="L38" s="55" t="n">
        <x:v>0.38</x:v>
      </x:c>
      <x:c r="M38" s="54" t="str">
        <x:v>Major skill gaps; true offer chance unknown</x:v>
      </x:c>
      <x:c r="N38" s="54" t="str">
        <x:v>Standards-based web platform implementation for browsers.</x:v>
      </x:c>
      <x:c r="O38" s="54" t="str">
        <x:v>Web standards and browser implementation knowledge.</x:v>
      </x:c>
      <x:c r="P38" s="54" t="str">
        <x:v>C/C++, OSS interest and problem solving.</x:v>
      </x:c>
      <x:c r="Q38" s="54" t="str">
        <x:v>Relevant web engine and standards contributions.</x:v>
      </x:c>
      <x:c r="R38" s="54" t="str">
        <x:v>Not disclosed</x:v>
      </x:c>
      <x:c r="S38" s="54"/>
      <x:c r="T38" s="54"/>
      <x:c r="U38" s="54" t="str"/>
      <x:c r="V38" s="54" t="str"/>
      <x:c r="W38" s="54" t="str">
        <x:v>Not disclosed</x:v>
      </x:c>
      <x:c r="X38" s="54" t="n">
        <x:v>2600</x:v>
      </x:c>
      <x:c r="Y38" s="56" t="n">
        <x:f>IF(X38="","",(X38-$B$5)/$B$5)</x:f>
        <x:v>0.6774193548387096</x:v>
      </x:c>
      <x:c r="Z38" s="54" t="str">
        <x:v>Full-time</x:v>
      </x:c>
      <x:c r="AA38" s="54" t="str">
        <x:v>https://www.igalia.com/jobs/web_platform_engineer</x:v>
      </x:c>
      <x:c r="AB38" s="54" t="str">
        <x:v>https://www.igalia.com/jobs/open/</x:v>
      </x:c>
      <x:c r="AC38" s="54" t="str">
        <x:v>Official employer</x:v>
      </x:c>
      <x:c r="AD38" s="54" t="str">
        <x:v>Not applied</x:v>
      </x:c>
      <x:c r="AE38" s="57"/>
      <x:c r="AF38" s="57"/>
      <x:c r="AG38" s="57" t="str">
        <x:v>Open official URL, verify Tunisia hiring; tailor CV and apply.</x:v>
      </x:c>
      <x:c r="AH38" s="57" t="n">
        <x:v>46315</x:v>
      </x:c>
    </x:row>
    <x:row r="39" ht="54" customHeight="1">
      <x:c r="A39" s="78" t="n">
        <x:v>30</x:v>
      </x:c>
      <x:c r="B39" s="78" t="str">
        <x:v>LOW FIT</x:v>
      </x:c>
      <x:c r="C39" s="54" t="str">
        <x:v>Employer job page verified</x:v>
      </x:c>
      <x:c r="D39" s="54" t="str">
        <x:v>Igalia</x:v>
      </x:c>
      <x:c r="E39" s="54" t="str">
        <x:v>JavaScript Engine Developer</x:v>
      </x:c>
      <x:c r="F39" s="54" t="str">
        <x:v>Systems / compilers</x:v>
      </x:c>
      <x:c r="G39" s="54" t="str">
        <x:v>Worldwide remote / distributed</x:v>
      </x:c>
      <x:c r="H39" s="54" t="str">
        <x:v>Remote worldwide stated; hiring mechanics ask</x:v>
      </x:c>
      <x:c r="I39" s="54" t="str">
        <x:v>Mid / unspecified</x:v>
      </x:c>
      <x:c r="J39" s="54" t="str">
        <x:v>Not stated</x:v>
      </x:c>
      <x:c r="K39" s="54" t="str">
        <x:v>English</x:v>
      </x:c>
      <x:c r="L39" s="55" t="n">
        <x:v>0.37</x:v>
      </x:c>
      <x:c r="M39" s="54" t="str">
        <x:v>Major skill gaps; true offer chance unknown</x:v>
      </x:c>
      <x:c r="N39" s="54" t="str">
        <x:v>Work on JIT engines, runtime internals and performance.</x:v>
      </x:c>
      <x:c r="O39" s="54" t="str">
        <x:v>Low-level compiler/runtime skills and open source.</x:v>
      </x:c>
      <x:c r="P39" s="54" t="str">
        <x:v>C/C++ foundation.</x:v>
      </x:c>
      <x:c r="Q39" s="54" t="str">
        <x:v>Advanced compilers/JIT expertise.</x:v>
      </x:c>
      <x:c r="R39" s="54" t="str">
        <x:v>Not disclosed</x:v>
      </x:c>
      <x:c r="S39" s="54"/>
      <x:c r="T39" s="54"/>
      <x:c r="U39" s="54" t="str"/>
      <x:c r="V39" s="54" t="str"/>
      <x:c r="W39" s="54" t="str">
        <x:v>Not disclosed</x:v>
      </x:c>
      <x:c r="X39" s="54" t="n">
        <x:v>2600</x:v>
      </x:c>
      <x:c r="Y39" s="56" t="n">
        <x:f>IF(X39="","",(X39-$B$5)/$B$5)</x:f>
        <x:v>0.6774193548387096</x:v>
      </x:c>
      <x:c r="Z39" s="54" t="str">
        <x:v>Full-time</x:v>
      </x:c>
      <x:c r="AA39" s="54" t="str">
        <x:v>https://www.igalia.com/jobs/javascript_engine_developer</x:v>
      </x:c>
      <x:c r="AB39" s="54" t="str">
        <x:v>https://www.igalia.com/jobs/open/</x:v>
      </x:c>
      <x:c r="AC39" s="54" t="str">
        <x:v>Official employer</x:v>
      </x:c>
      <x:c r="AD39" s="54" t="str">
        <x:v>Not applied</x:v>
      </x:c>
      <x:c r="AE39" s="57"/>
      <x:c r="AF39" s="57"/>
      <x:c r="AG39" s="57" t="str">
        <x:v>Open official URL, verify Tunisia hiring; tailor CV and apply.</x:v>
      </x:c>
      <x:c r="AH39" s="57" t="n">
        <x:v>46315</x:v>
      </x:c>
    </x:row>
    <x:row r="40" ht="54" customHeight="1">
      <x:c r="A40" s="78" t="n">
        <x:v>31</x:v>
      </x:c>
      <x:c r="B40" s="78" t="str">
        <x:v>LOW FIT</x:v>
      </x:c>
      <x:c r="C40" s="54" t="str">
        <x:v>Employer job page verified</x:v>
      </x:c>
      <x:c r="D40" s="54" t="str">
        <x:v>LiveView Technologies</x:v>
      </x:c>
      <x:c r="E40" s="54" t="str">
        <x:v>Senior Staff Embedded Software Engineer - Cameras</x:v>
      </x:c>
      <x:c r="F40" s="54" t="str">
        <x:v>Embedded Linux / cameras / Yocto</x:v>
      </x:c>
      <x:c r="G40" s="54" t="str">
        <x:v>Remote offered; periodic US HQ and JDM travel; eligibility unclear</x:v>
      </x:c>
      <x:c r="H40" s="54" t="str">
        <x:v>Location unconfirmed - travel may block</x:v>
      </x:c>
      <x:c r="I40" s="54" t="str">
        <x:v>Senior Staff</x:v>
      </x:c>
      <x:c r="J40" s="54" t="str">
        <x:v>Not stated</x:v>
      </x:c>
      <x:c r="K40" s="54" t="str">
        <x:v>English</x:v>
      </x:c>
      <x:c r="L40" s="55" t="n">
        <x:v>0.37</x:v>
      </x:c>
      <x:c r="M40" s="54" t="str">
        <x:v>Major skill gaps; true offer chance unknown</x:v>
      </x:c>
      <x:c r="N40" s="54" t="str">
        <x:v>Own Yocto camera OS, streaming stack, manufacturer coordination.</x:v>
      </x:c>
      <x:c r="O40" s="54" t="str">
        <x:v>System design, Yocto video pipelines, leadership, travel.</x:v>
      </x:c>
      <x:c r="P40" s="54" t="str">
        <x:v>Yocto, hardware, sourcing/vendors.</x:v>
      </x:c>
      <x:c r="Q40" s="54" t="str">
        <x:v>High-seniority architecture, media pipelines, US travel.</x:v>
      </x:c>
      <x:c r="R40" s="54" t="str">
        <x:v>Not disclosed</x:v>
      </x:c>
      <x:c r="S40" s="54"/>
      <x:c r="T40" s="54"/>
      <x:c r="U40" s="54" t="str"/>
      <x:c r="V40" s="54" t="str"/>
      <x:c r="W40" s="54" t="str">
        <x:v>Not disclosed</x:v>
      </x:c>
      <x:c r="X40" s="54" t="n">
        <x:v>2600</x:v>
      </x:c>
      <x:c r="Y40" s="56" t="n">
        <x:f>IF(X40="","",(X40-$B$5)/$B$5)</x:f>
        <x:v>0.6774193548387096</x:v>
      </x:c>
      <x:c r="Z40" s="54" t="str">
        <x:v>Full-time</x:v>
      </x:c>
      <x:c r="AA40" s="54" t="str">
        <x:v>https://jobs.ashbyhq.com/liveview-technologies/5506f2ef-be14-4a4a-8bb3-eaec5de82b89</x:v>
      </x:c>
      <x:c r="AB40" s="54" t="str"/>
      <x:c r="AC40" s="54" t="str">
        <x:v>Official employer</x:v>
      </x:c>
      <x:c r="AD40" s="54" t="str">
        <x:v>Not applied</x:v>
      </x:c>
      <x:c r="AE40" s="57"/>
      <x:c r="AF40" s="57"/>
      <x:c r="AG40" s="57" t="str">
        <x:v>Open official URL, verify Tunisia hiring; tailor CV and apply.</x:v>
      </x:c>
      <x:c r="AH40" s="57" t="n">
        <x:v>46315</x:v>
      </x:c>
    </x:row>
    <x:row r="41" ht="54" customHeight="1">
      <x:c r="A41" s="78" t="n">
        <x:v>32</x:v>
      </x:c>
      <x:c r="B41" s="78" t="str">
        <x:v>LOW FIT</x:v>
      </x:c>
      <x:c r="C41" s="54" t="str">
        <x:v>Employer job page verified</x:v>
      </x:c>
      <x:c r="D41" s="54" t="str">
        <x:v>Collabora</x:v>
      </x:c>
      <x:c r="E41" s="54" t="str">
        <x:v>Linux Kernel Consultant</x:v>
      </x:c>
      <x:c r="F41" s="54" t="str">
        <x:v>Linux kernel / systems</x:v>
      </x:c>
      <x:c r="G41" s="54" t="str">
        <x:v>Remote worldwide; Tunisia contract to confirm</x:v>
      </x:c>
      <x:c r="H41" s="54" t="str">
        <x:v>Potential - confirm Tunisia</x:v>
      </x:c>
      <x:c r="I41" s="54" t="str">
        <x:v>Senior</x:v>
      </x:c>
      <x:c r="J41" s="54" t="str">
        <x:v>Not stated</x:v>
      </x:c>
      <x:c r="K41" s="54" t="str">
        <x:v>English</x:v>
      </x:c>
      <x:c r="L41" s="55" t="n">
        <x:v>0.35</x:v>
      </x:c>
      <x:c r="M41" s="54" t="str">
        <x:v>Major skill gaps; true offer chance unknown</x:v>
      </x:c>
      <x:c r="N41" s="54" t="str">
        <x:v>Develop upstream Linux kernel patches and resolve client kernel problems at subsystem level.</x:v>
      </x:c>
      <x:c r="O41" s="54" t="str">
        <x:v>Solid independent kernel development experience, upstream code/processes, English.</x:v>
      </x:c>
      <x:c r="P41" s="54" t="str">
        <x:v>Consulting and C/Linux interest match the general field.</x:v>
      </x:c>
      <x:c r="Q41" s="54" t="str">
        <x:v>Production kernel subsystem experience not evidenced; long-shot today.</x:v>
      </x:c>
      <x:c r="R41" s="54" t="str">
        <x:v>Not disclosed</x:v>
      </x:c>
      <x:c r="S41" s="54"/>
      <x:c r="T41" s="54"/>
      <x:c r="U41" s="54" t="str"/>
      <x:c r="V41" s="54" t="str"/>
      <x:c r="W41" s="54" t="str">
        <x:v>Not disclosed</x:v>
      </x:c>
      <x:c r="X41" s="54" t="n">
        <x:v>2600</x:v>
      </x:c>
      <x:c r="Y41" s="56" t="n">
        <x:f>IF(X41="","",(X41-$B$5)/$B$5)</x:f>
        <x:v>0.6774193548387096</x:v>
      </x:c>
      <x:c r="Z41" s="54" t="str">
        <x:v>Full-time</x:v>
      </x:c>
      <x:c r="AA41" s="54" t="str">
        <x:v>https://jobs.lever.co/collabora/fb757480-1900-48c6-b903-2db192408c63</x:v>
      </x:c>
      <x:c r="AB41" s="54" t="str"/>
      <x:c r="AC41" s="54" t="str">
        <x:v>Official employer</x:v>
      </x:c>
      <x:c r="AD41" s="54" t="str">
        <x:v>Not applied</x:v>
      </x:c>
      <x:c r="AE41" s="57"/>
      <x:c r="AF41" s="57"/>
      <x:c r="AG41" s="57" t="str">
        <x:v>Treat as a 12-month skill-building destination, not your first exit application.</x:v>
      </x:c>
      <x:c r="AH41" s="57" t="n">
        <x:v>46315</x:v>
      </x:c>
    </x:row>
    <x:row r="42" ht="54" customHeight="1">
      <x:c r="A42" s="78" t="n">
        <x:v>33</x:v>
      </x:c>
      <x:c r="B42" s="78" t="str">
        <x:v>LOW FIT</x:v>
      </x:c>
      <x:c r="C42" s="54" t="str">
        <x:v>Employer job page verified</x:v>
      </x:c>
      <x:c r="D42" s="54" t="str">
        <x:v>Imagine Worldwide</x:v>
      </x:c>
      <x:c r="E42" s="54" t="str">
        <x:v>Android Systems Engineer</x:v>
      </x:c>
      <x:c r="F42" s="54" t="str">
        <x:v>Linux software / distribution</x:v>
      </x:c>
      <x:c r="G42" s="54" t="str">
        <x:v>Africa preferred; Tunisia unconfirmed</x:v>
      </x:c>
      <x:c r="H42" s="54" t="str">
        <x:v>Potential - confirm Tunisia</x:v>
      </x:c>
      <x:c r="I42" s="54" t="str">
        <x:v>Unspecified</x:v>
      </x:c>
      <x:c r="J42" s="54" t="str">
        <x:v>Not stated</x:v>
      </x:c>
      <x:c r="K42" s="54" t="str">
        <x:v>English</x:v>
      </x:c>
      <x:c r="L42" s="55" t="n">
        <x:v>0.32</x:v>
      </x:c>
      <x:c r="M42" s="54" t="str">
        <x:v>Major skill gaps; true offer chance unknown</x:v>
      </x:c>
      <x:c r="N42" s="54" t="str">
        <x:v>Build Android tablet firmware, device images, BSPs, factory flashing and OTA updates for education deployments.</x:v>
      </x:c>
      <x:c r="O42" s="54" t="str">
        <x:v>At least 5 years Android/embedded Linux/firmware, MTK BSP, AOSP/Kotlin, device-tree, OTA and Android security.</x:v>
      </x:c>
      <x:c r="P42" s="54" t="str">
        <x:v>Embedded/hardware debugging, factory and supplier work may transfer.</x:v>
      </x:c>
      <x:c r="Q42" s="54" t="str">
        <x:v>5+ years, MediaTek/Android vendor BSP, Java/Kotlin and AOSP experience appear to be strong barriers.</x:v>
      </x:c>
      <x:c r="R42" s="54" t="str">
        <x:v>Not disclosed</x:v>
      </x:c>
      <x:c r="S42" s="54"/>
      <x:c r="T42" s="54"/>
      <x:c r="U42" s="54" t="str"/>
      <x:c r="V42" s="54" t="str"/>
      <x:c r="W42" s="54" t="str">
        <x:v>Not disclosed</x:v>
      </x:c>
      <x:c r="X42" s="54" t="n">
        <x:v>2600</x:v>
      </x:c>
      <x:c r="Y42" s="56" t="n">
        <x:f>IF(X42="","",(X42-$B$5)/$B$5)</x:f>
        <x:v>0.6774193548387096</x:v>
      </x:c>
      <x:c r="Z42" s="54" t="str">
        <x:v>Full-time</x:v>
      </x:c>
      <x:c r="AA42" s="54" t="str">
        <x:v>https://job-boards.greenhouse.io/imagineworldwide/jobs/4249692009</x:v>
      </x:c>
      <x:c r="AB42" s="54" t="str"/>
      <x:c r="AC42" s="54" t="str">
        <x:v>Official employer</x:v>
      </x:c>
      <x:c r="AD42" s="54" t="str">
        <x:v>Not applied</x:v>
      </x:c>
      <x:c r="AE42" s="57"/>
      <x:c r="AF42" s="57"/>
      <x:c r="AG42" s="57" t="str">
        <x:v>Do not prioritize unless you have substantial unshared Android/BSP experience.</x:v>
      </x:c>
      <x:c r="AH42" s="57" t="n">
        <x:v>46315</x:v>
      </x:c>
    </x:row>
    <x:row r="43" ht="54" customHeight="1">
      <x:c r="A43" s="78" t="n">
        <x:v>34</x:v>
      </x:c>
      <x:c r="B43" s="78" t="str">
        <x:v>LOW FIT</x:v>
      </x:c>
      <x:c r="C43" s="54" t="str">
        <x:v>Employer job page verified</x:v>
      </x:c>
      <x:c r="D43" s="54" t="str">
        <x:v>Igalia</x:v>
      </x:c>
      <x:c r="E43" s="54" t="str">
        <x:v>Kernel Developer</x:v>
      </x:c>
      <x:c r="F43" s="54" t="str">
        <x:v>Linux kernel / systems</x:v>
      </x:c>
      <x:c r="G43" s="54" t="str">
        <x:v>Remote friendly, international; Tunisia contract unconfirmed</x:v>
      </x:c>
      <x:c r="H43" s="54" t="str">
        <x:v>Potential - confirm Tunisia</x:v>
      </x:c>
      <x:c r="I43" s="54" t="str">
        <x:v>Senior</x:v>
      </x:c>
      <x:c r="J43" s="54" t="str">
        <x:v>Not stated</x:v>
      </x:c>
      <x:c r="K43" s="54" t="str">
        <x:v>English</x:v>
      </x:c>
      <x:c r="L43" s="55" t="n">
        <x:v>0.3</x:v>
      </x:c>
      <x:c r="M43" s="54" t="str">
        <x:v>Major skill gaps; true offer chance unknown</x:v>
      </x:c>
      <x:c r="N43" s="54" t="str">
        <x:v>Develop kernel subsystems, communicate on Linux mailing lists and contribute patches in public.</x:v>
      </x:c>
      <x:c r="O43" s="54" t="str">
        <x:v>Prior kernel subsystem experience and open-source contributions, high autonomy, fluent English.</x:v>
      </x:c>
      <x:c r="P43" s="54" t="str">
        <x:v>Good longer-term Linux direction.</x:v>
      </x:c>
      <x:c r="Q43" s="54" t="str">
        <x:v>Demonstrated kernel upstream contributions not yet present.</x:v>
      </x:c>
      <x:c r="R43" s="54" t="str">
        <x:v>Not disclosed</x:v>
      </x:c>
      <x:c r="S43" s="54"/>
      <x:c r="T43" s="54"/>
      <x:c r="U43" s="54" t="str"/>
      <x:c r="V43" s="54" t="str"/>
      <x:c r="W43" s="54" t="str">
        <x:v>Not disclosed</x:v>
      </x:c>
      <x:c r="X43" s="54" t="n">
        <x:v>2600</x:v>
      </x:c>
      <x:c r="Y43" s="56" t="n">
        <x:f>IF(X43="","",(X43-$B$5)/$B$5)</x:f>
        <x:v>0.6774193548387096</x:v>
      </x:c>
      <x:c r="Z43" s="54" t="str">
        <x:v>Full-time</x:v>
      </x:c>
      <x:c r="AA43" s="54" t="str">
        <x:v>https://www.igalia.com/jobs/kernel_developer</x:v>
      </x:c>
      <x:c r="AB43" s="54" t="str"/>
      <x:c r="AC43" s="54" t="str">
        <x:v>Official employer</x:v>
      </x:c>
      <x:c r="AD43" s="54" t="str">
        <x:v>Not applied</x:v>
      </x:c>
      <x:c r="AE43" s="57"/>
      <x:c r="AF43" s="57"/>
      <x:c r="AG43" s="57" t="str">
        <x:v>Contribute patches and build an upstream footprint before targeting.</x:v>
      </x:c>
      <x:c r="AH43" s="57" t="n">
        <x:v>46315</x:v>
      </x:c>
    </x:row>
    <x:row r="44" ht="54" customHeight="1">
      <x:c r="A44" s="78" t="n">
        <x:v>35</x:v>
      </x:c>
      <x:c r="B44" s="78" t="str">
        <x:v>LOW FIT</x:v>
      </x:c>
      <x:c r="C44" s="54" t="str">
        <x:v>Employer job page verified</x:v>
      </x:c>
      <x:c r="D44" s="54" t="str">
        <x:v>Canonical</x:v>
      </x:c>
      <x:c r="E44" s="54" t="str">
        <x:v>Engineering Manager - Ubuntu Core</x:v>
      </x:c>
      <x:c r="F44" s="54" t="str">
        <x:v>Embedded Linux / management</x:v>
      </x:c>
      <x:c r="G44" s="54" t="str">
        <x:v>Remote EMEA or Americas; Tunisia contract to confirm</x:v>
      </x:c>
      <x:c r="H44" s="54" t="str">
        <x:v>Potential - confirm Tunisia</x:v>
      </x:c>
      <x:c r="I44" s="54" t="str">
        <x:v>Manager</x:v>
      </x:c>
      <x:c r="J44" s="54" t="str">
        <x:v>Not stated</x:v>
      </x:c>
      <x:c r="K44" s="54" t="str">
        <x:v>English</x:v>
      </x:c>
      <x:c r="L44" s="55" t="n">
        <x:v>0.27</x:v>
      </x:c>
      <x:c r="M44" s="54" t="str">
        <x:v>Major skill gaps; true offer chance unknown</x:v>
      </x:c>
      <x:c r="N44" s="54" t="str">
        <x:v>Lead Ubuntu Core engineers and product priorities.</x:v>
      </x:c>
      <x:c r="O44" s="54" t="str">
        <x:v>Engineering leadership, embedded Linux, device security.</x:v>
      </x:c>
      <x:c r="P44" s="54" t="str">
        <x:v>Practical electronics and projects.</x:v>
      </x:c>
      <x:c r="Q44" s="54" t="str">
        <x:v>People-management and architecture leadership.</x:v>
      </x:c>
      <x:c r="R44" s="54" t="str">
        <x:v>Not disclosed</x:v>
      </x:c>
      <x:c r="S44" s="54"/>
      <x:c r="T44" s="54"/>
      <x:c r="U44" s="54" t="str"/>
      <x:c r="V44" s="54" t="str"/>
      <x:c r="W44" s="54" t="str">
        <x:v>Not disclosed</x:v>
      </x:c>
      <x:c r="X44" s="54" t="n">
        <x:v>2600</x:v>
      </x:c>
      <x:c r="Y44" s="56" t="n">
        <x:f>IF(X44="","",(X44-$B$5)/$B$5)</x:f>
        <x:v>0.6774193548387096</x:v>
      </x:c>
      <x:c r="Z44" s="54" t="str">
        <x:v>Full-time</x:v>
      </x:c>
      <x:c r="AA44" s="54" t="str">
        <x:v>https://canonical.com/careers/5612564</x:v>
      </x:c>
      <x:c r="AB44" s="54" t="str"/>
      <x:c r="AC44" s="54" t="str">
        <x:v>Official employer</x:v>
      </x:c>
      <x:c r="AD44" s="54" t="str">
        <x:v>Not applied</x:v>
      </x:c>
      <x:c r="AE44" s="57"/>
      <x:c r="AF44" s="57"/>
      <x:c r="AG44" s="57" t="str">
        <x:v>Long-term stretch; not near-term application.</x:v>
      </x:c>
      <x:c r="AH44" s="57" t="n">
        <x:v>46315</x:v>
      </x:c>
    </x:row>
    <x:row r="45" ht="54" customHeight="1">
      <x:c r="A45" s="78" t="n">
        <x:v>36</x:v>
      </x:c>
      <x:c r="B45" s="78" t="str">
        <x:v>LOW FIT</x:v>
      </x:c>
      <x:c r="C45" s="54" t="str">
        <x:v>Employer job page verified</x:v>
      </x:c>
      <x:c r="D45" s="54" t="str">
        <x:v>Igalia</x:v>
      </x:c>
      <x:c r="E45" s="54" t="str">
        <x:v>Multimedia Developer</x:v>
      </x:c>
      <x:c r="F45" s="54" t="str">
        <x:v>Linux software / distribution</x:v>
      </x:c>
      <x:c r="G45" s="54" t="str">
        <x:v>Remote-friendly; Tunisia terms unconfirmed</x:v>
      </x:c>
      <x:c r="H45" s="54" t="str">
        <x:v>Potential - confirm Tunisia</x:v>
      </x:c>
      <x:c r="I45" s="54" t="str">
        <x:v>Unspecified</x:v>
      </x:c>
      <x:c r="J45" s="54" t="str">
        <x:v>Not stated</x:v>
      </x:c>
      <x:c r="K45" s="54" t="str">
        <x:v>English</x:v>
      </x:c>
      <x:c r="L45" s="55" t="n">
        <x:v>0.26</x:v>
      </x:c>
      <x:c r="M45" s="54" t="str">
        <x:v>Major skill gaps; true offer chance unknown</x:v>
      </x:c>
      <x:c r="N45" s="54" t="str">
        <x:v>Contribute to multimedia frameworks, browser media, embedded Linux multimedia and related libraries.</x:v>
      </x:c>
      <x:c r="O45" s="54" t="str">
        <x:v>Software/media expertise; GStreamer/FFmpeg and codec/protocol experience highly desirable.</x:v>
      </x:c>
      <x:c r="P45" s="54" t="str">
        <x:v>Yocto + embedded Linux provides limited background overlap.</x:v>
      </x:c>
      <x:c r="Q45" s="54" t="str">
        <x:v>Multimedia framework and codec programming missing from known experience.</x:v>
      </x:c>
      <x:c r="R45" s="54" t="str">
        <x:v>Not disclosed</x:v>
      </x:c>
      <x:c r="S45" s="54"/>
      <x:c r="T45" s="54"/>
      <x:c r="U45" s="54" t="str"/>
      <x:c r="V45" s="54" t="str"/>
      <x:c r="W45" s="54" t="str">
        <x:v>Not disclosed</x:v>
      </x:c>
      <x:c r="X45" s="54" t="n">
        <x:v>2600</x:v>
      </x:c>
      <x:c r="Y45" s="56" t="n">
        <x:f>IF(X45="","",(X45-$B$5)/$B$5)</x:f>
        <x:v>0.6774193548387096</x:v>
      </x:c>
      <x:c r="Z45" s="54" t="str">
        <x:v>Full-time</x:v>
      </x:c>
      <x:c r="AA45" s="54" t="str">
        <x:v>https://www.igalia.com/jobs/multimedia_developer</x:v>
      </x:c>
      <x:c r="AB45" s="54" t="str"/>
      <x:c r="AC45" s="54" t="str">
        <x:v>Official employer</x:v>
      </x:c>
      <x:c r="AD45" s="54" t="str">
        <x:v>Not applied</x:v>
      </x:c>
      <x:c r="AE45" s="57"/>
      <x:c r="AF45" s="57"/>
      <x:c r="AG45" s="57" t="str">
        <x:v>Skip unless multimedia/video is a genuine interest.</x:v>
      </x:c>
      <x:c r="AH45" s="57" t="n">
        <x:v>46315</x:v>
      </x:c>
    </x:row>
    <x:row r="46" ht="54" customHeight="1">
      <x:c r="A46" s="78" t="n">
        <x:v>37</x:v>
      </x:c>
      <x:c r="B46" s="78" t="str">
        <x:v>LOW FIT</x:v>
      </x:c>
      <x:c r="C46" s="54" t="str">
        <x:v>Employer job page verified</x:v>
      </x:c>
      <x:c r="D46" s="54" t="str">
        <x:v>Canonical</x:v>
      </x:c>
      <x:c r="E46" s="54" t="str">
        <x:v>Devices &amp; IoT Field Engineering Manager</x:v>
      </x:c>
      <x:c r="F46" s="54" t="str">
        <x:v>Embedded Linux / management</x:v>
      </x:c>
      <x:c r="G46" s="54" t="str">
        <x:v>Worldwide posting; manager assigned to region; title says Americas</x:v>
      </x:c>
      <x:c r="H46" s="54" t="str">
        <x:v>Conditional / regional leadership</x:v>
      </x:c>
      <x:c r="I46" s="54" t="str">
        <x:v>Manager</x:v>
      </x:c>
      <x:c r="J46" s="54" t="str">
        <x:v>Not stated</x:v>
      </x:c>
      <x:c r="K46" s="54" t="str">
        <x:v>English</x:v>
      </x:c>
      <x:c r="L46" s="55" t="n">
        <x:v>0.25</x:v>
      </x:c>
      <x:c r="M46" s="54" t="str">
        <x:v>Major skill gaps; true offer chance unknown</x:v>
      </x:c>
      <x:c r="N46" s="54" t="str">
        <x:v>Manage field engineers for Ubuntu IoT/Devices solutions.</x:v>
      </x:c>
      <x:c r="O46" s="54" t="str">
        <x:v>Embedded Linux expertise, presales, team leadership.</x:v>
      </x:c>
      <x:c r="P46" s="54" t="str">
        <x:v>Customer-facing embedded systems background.</x:v>
      </x:c>
      <x:c r="Q46" s="54" t="str">
        <x:v>Multi-year leadership plus large customer engagements.</x:v>
      </x:c>
      <x:c r="R46" s="54" t="str">
        <x:v>Not disclosed</x:v>
      </x:c>
      <x:c r="S46" s="54"/>
      <x:c r="T46" s="54"/>
      <x:c r="U46" s="54" t="str"/>
      <x:c r="V46" s="54" t="str"/>
      <x:c r="W46" s="54" t="str">
        <x:v>Not disclosed</x:v>
      </x:c>
      <x:c r="X46" s="54" t="n">
        <x:v>2600</x:v>
      </x:c>
      <x:c r="Y46" s="56" t="n">
        <x:f>IF(X46="","",(X46-$B$5)/$B$5)</x:f>
        <x:v>0.6774193548387096</x:v>
      </x:c>
      <x:c r="Z46" s="54" t="str">
        <x:v>Full-time</x:v>
      </x:c>
      <x:c r="AA46" s="54" t="str">
        <x:v>https://canonical.com/careers/3756791/embedded-linux-field-engineering-manager-americas-only-remote</x:v>
      </x:c>
      <x:c r="AB46" s="54" t="str"/>
      <x:c r="AC46" s="54" t="str">
        <x:v>Official employer</x:v>
      </x:c>
      <x:c r="AD46" s="54" t="str">
        <x:v>Not applied</x:v>
      </x:c>
      <x:c r="AE46" s="57"/>
      <x:c r="AF46" s="57"/>
      <x:c r="AG46" s="57" t="str">
        <x:v>Title and geography ambiguous; ask first.</x:v>
      </x:c>
      <x:c r="AH46" s="57" t="n">
        <x:v>46315</x:v>
      </x:c>
    </x:row>
    <x:row r="47" ht="54" customHeight="1">
      <x:c r="A47" s="78" t="n">
        <x:v>38</x:v>
      </x:c>
      <x:c r="B47" s="78" t="str">
        <x:v>VERIFY</x:v>
      </x:c>
      <x:c r="C47" s="54" t="str">
        <x:v>Employer job page verified</x:v>
      </x:c>
      <x:c r="D47" s="54" t="str">
        <x:v>WCL Group</x:v>
      </x:c>
      <x:c r="E47" s="54" t="str">
        <x:v>Firmware Engineer</x:v>
      </x:c>
      <x:c r="F47" s="54" t="str">
        <x:v>Firmware / MCU</x:v>
      </x:c>
      <x:c r="G47" s="54" t="str">
        <x:v>Indeed labels Remote; country not specified</x:v>
      </x:c>
      <x:c r="H47" s="54" t="str">
        <x:v>Remote region unconfirmed</x:v>
      </x:c>
      <x:c r="I47" s="54" t="str">
        <x:v>Mid</x:v>
      </x:c>
      <x:c r="J47" s="54" t="str">
        <x:v>2-5</x:v>
      </x:c>
      <x:c r="K47" s="54" t="str">
        <x:v>English</x:v>
      </x:c>
      <x:c r="L47" s="55" t="n">
        <x:v>0.65</x:v>
      </x:c>
      <x:c r="M47" s="54" t="str">
        <x:v>Find direct employer application first</x:v>
      </x:c>
      <x:c r="N47" s="54" t="str">
        <x:v>Maintain firmware on low-power microcontrollers.</x:v>
      </x:c>
      <x:c r="O47" s="54" t="str">
        <x:v>2-5 years MCU embedded firmware, C.</x:v>
      </x:c>
      <x:c r="P47" s="54" t="str">
        <x:v>C/STM32/FreeRTOS and board debugging.</x:v>
      </x:c>
      <x:c r="Q47" s="54" t="str">
        <x:v>Real-time production track record.</x:v>
      </x:c>
      <x:c r="R47" s="54" t="str">
        <x:v>$44.50/hour (third-party listing)</x:v>
      </x:c>
      <x:c r="S47" s="54" t="n">
        <x:v>44.5</x:v>
      </x:c>
      <x:c r="T47" s="54" t="n">
        <x:v>44.5</x:v>
      </x:c>
      <x:c r="U47" s="54" t="str">
        <x:v>USD</x:v>
      </x:c>
      <x:c r="V47" s="54" t="str">
        <x:v>hour</x:v>
      </x:c>
      <x:c r="W47" s="54" t="str">
        <x:v>Third-party listing; eligibility unverified</x:v>
      </x:c>
      <x:c r="X47" s="54" t="n">
        <x:v>2900</x:v>
      </x:c>
      <x:c r="Y47" s="56" t="n">
        <x:f>IF(X47="","",(X47-$B$5)/$B$5)</x:f>
        <x:v>0.8709677419354839</x:v>
      </x:c>
      <x:c r="Z47" s="54" t="str">
        <x:v>Full-time</x:v>
      </x:c>
      <x:c r="AA47" s="54" t="str">
        <x:v>https://www.indeed.com/q-remote-embedded-firmware-l-worldwide%2C-anywhere-jobs.html</x:v>
      </x:c>
      <x:c r="AB47" s="54" t="str"/>
      <x:c r="AC47" s="54" t="str">
        <x:v>Indeed aggregator / no direct employer application</x:v>
      </x:c>
      <x:c r="AD47" s="54" t="str">
        <x:v>Not applied</x:v>
      </x:c>
      <x:c r="AE47" s="57"/>
      <x:c r="AF47" s="57"/>
      <x:c r="AG47" s="57" t="str">
        <x:v>Find actual employer application before sharing documents.</x:v>
      </x:c>
      <x:c r="AH47" s="57" t="n">
        <x:v>46315</x:v>
      </x:c>
    </x:row>
    <x:row r="48" ht="54" customHeight="1">
      <x:c r="A48" s="78" t="n">
        <x:v>39</x:v>
      </x:c>
      <x:c r="B48" s="78" t="str">
        <x:v>VERIFY</x:v>
      </x:c>
      <x:c r="C48" s="54" t="str">
        <x:v>Employer job page verified</x:v>
      </x:c>
      <x:c r="D48" s="54" t="str">
        <x:v>AuraOne Human Data</x:v>
      </x:c>
      <x:c r="E48" s="54" t="str">
        <x:v>Software and Firmware Engineering Expert - AI evaluation</x:v>
      </x:c>
      <x:c r="F48" s="54" t="str">
        <x:v>Embedded adjacent / AI review</x:v>
      </x:c>
      <x:c r="G48" s="54" t="str">
        <x:v>Remote (Indeed); location requirements unknown</x:v>
      </x:c>
      <x:c r="H48" s="54" t="str">
        <x:v>Remote region unconfirmed</x:v>
      </x:c>
      <x:c r="I48" s="54" t="str">
        <x:v>Experienced</x:v>
      </x:c>
      <x:c r="J48" s="54" t="str">
        <x:v>Not stated</x:v>
      </x:c>
      <x:c r="K48" s="54" t="str">
        <x:v>English</x:v>
      </x:c>
      <x:c r="L48" s="55" t="n">
        <x:v>0.62</x:v>
      </x:c>
      <x:c r="M48" s="54" t="str">
        <x:v>Find direct employer application first</x:v>
      </x:c>
      <x:c r="N48" s="54" t="str">
        <x:v>Review and assess embedded systems coding and engineering solutions.</x:v>
      </x:c>
      <x:c r="O48" s="54" t="str">
        <x:v>Expert review capacity, embedded firmware and technical writing.</x:v>
      </x:c>
      <x:c r="P48" s="54" t="str">
        <x:v>Hardware debugging and C/C++ testing.</x:v>
      </x:c>
      <x:c r="Q48" s="54" t="str">
        <x:v>AI-assessment workflow/required expertise unknown.</x:v>
      </x:c>
      <x:c r="R48" s="54" t="str">
        <x:v>$100-$120/hour (Indeed)</x:v>
      </x:c>
      <x:c r="S48" s="54" t="n">
        <x:v>100</x:v>
      </x:c>
      <x:c r="T48" s="54" t="n">
        <x:v>120</x:v>
      </x:c>
      <x:c r="U48" s="54" t="str">
        <x:v>USD</x:v>
      </x:c>
      <x:c r="V48" s="54" t="str">
        <x:v>hour</x:v>
      </x:c>
      <x:c r="W48" s="54" t="str">
        <x:v>Third-party advertised; verify employer</x:v>
      </x:c>
      <x:c r="X48" s="54" t="n">
        <x:v>2600</x:v>
      </x:c>
      <x:c r="Y48" s="56" t="n">
        <x:f>IF(X48="","",(X48-$B$5)/$B$5)</x:f>
        <x:v>0.6774193548387096</x:v>
      </x:c>
      <x:c r="Z48" s="54" t="str">
        <x:v>Part-time / contract</x:v>
      </x:c>
      <x:c r="AA48" s="54" t="str">
        <x:v>https://www.indeed.com/q-remote-embedded-firmware-l-worldwide%2C-anywhere-jobs.html</x:v>
      </x:c>
      <x:c r="AB48" s="54" t="str"/>
      <x:c r="AC48" s="54" t="str">
        <x:v>Indeed aggregator / no direct employer application</x:v>
      </x:c>
      <x:c r="AD48" s="54" t="str">
        <x:v>Not applied</x:v>
      </x:c>
      <x:c r="AE48" s="57"/>
      <x:c r="AF48" s="57"/>
      <x:c r="AG48" s="57" t="str">
        <x:v>Open official URL, verify Tunisia hiring; tailor CV and apply.</x:v>
      </x:c>
      <x:c r="AH48" s="57" t="n">
        <x:v>46315</x:v>
      </x:c>
    </x:row>
    <x:row r="49" ht="54" customHeight="1">
      <x:c r="A49" s="78" t="n">
        <x:v>40</x:v>
      </x:c>
      <x:c r="B49" s="78" t="str">
        <x:v>VERIFY</x:v>
      </x:c>
      <x:c r="C49" s="54" t="str">
        <x:v>Employer job page verified</x:v>
      </x:c>
      <x:c r="D49" s="54" t="str">
        <x:v>Swiftlane</x:v>
      </x:c>
      <x:c r="E49" s="54" t="str">
        <x:v>Senior Embedded Software Engineer</x:v>
      </x:c>
      <x:c r="F49" s="54" t="str">
        <x:v>Firmware / IoT</x:v>
      </x:c>
      <x:c r="G49" s="54" t="str">
        <x:v>Indeed says Remote; geography not specified</x:v>
      </x:c>
      <x:c r="H49" s="54" t="str">
        <x:v>Remote region unconfirmed</x:v>
      </x:c>
      <x:c r="I49" s="54" t="str">
        <x:v>Senior</x:v>
      </x:c>
      <x:c r="J49" s="54" t="str">
        <x:v>Not stated</x:v>
      </x:c>
      <x:c r="K49" s="54" t="str">
        <x:v>English</x:v>
      </x:c>
      <x:c r="L49" s="55" t="n">
        <x:v>0.5</x:v>
      </x:c>
      <x:c r="M49" s="54" t="str">
        <x:v>Find direct employer application first</x:v>
      </x:c>
      <x:c r="N49" s="54" t="str">
        <x:v>C firmware and embedded application software.</x:v>
      </x:c>
      <x:c r="O49" s="54" t="str">
        <x:v>Expert embedded C; systems integrations.</x:v>
      </x:c>
      <x:c r="P49" s="54" t="str">
        <x:v>Embedded C and I/O protocols.</x:v>
      </x:c>
      <x:c r="Q49" s="54" t="str">
        <x:v>Senior product ownership.</x:v>
      </x:c>
      <x:c r="R49" s="54" t="str">
        <x:v>Not disclosed</x:v>
      </x:c>
      <x:c r="S49" s="54"/>
      <x:c r="T49" s="54"/>
      <x:c r="U49" s="54" t="str"/>
      <x:c r="V49" s="54" t="str"/>
      <x:c r="W49" s="54" t="str">
        <x:v>Not disclosed</x:v>
      </x:c>
      <x:c r="X49" s="54" t="n">
        <x:v>2600</x:v>
      </x:c>
      <x:c r="Y49" s="56" t="n">
        <x:f>IF(X49="","",(X49-$B$5)/$B$5)</x:f>
        <x:v>0.6774193548387096</x:v>
      </x:c>
      <x:c r="Z49" s="54" t="str">
        <x:v>Full-time</x:v>
      </x:c>
      <x:c r="AA49" s="54" t="str">
        <x:v>https://www.indeed.com/q-remote-embedded-firmware-l-worldwide%2C-anywhere-jobs.html</x:v>
      </x:c>
      <x:c r="AB49" s="54" t="str"/>
      <x:c r="AC49" s="54" t="str">
        <x:v>Indeed aggregator / no direct employer application</x:v>
      </x:c>
      <x:c r="AD49" s="54" t="str">
        <x:v>Not applied</x:v>
      </x:c>
      <x:c r="AE49" s="57"/>
      <x:c r="AF49" s="57"/>
      <x:c r="AG49" s="57" t="str">
        <x:v>Open official URL, verify Tunisia hiring; tailor CV and apply.</x:v>
      </x:c>
      <x:c r="AH49" s="57" t="n">
        <x:v>46315</x:v>
      </x:c>
    </x:row>
    <x:row r="50" ht="54" customHeight="1">
      <x:c r="A50" s="78" t="n">
        <x:v>41</x:v>
      </x:c>
      <x:c r="B50" s="78" t="str">
        <x:v>VERIFY</x:v>
      </x:c>
      <x:c r="C50" s="54" t="str">
        <x:v>Live employer role; REMOTE status unverified</x:v>
      </x:c>
      <x:c r="D50" s="54" t="str">
        <x:v>Tylsemi</x:v>
      </x:c>
      <x:c r="E50" s="54" t="str">
        <x:v>Staff Embedded Firmware Engineer - Platform Controller</x:v>
      </x:c>
      <x:c r="F50" s="54" t="str">
        <x:v>Firmware / Zephyr / power</x:v>
      </x:c>
      <x:c r="G50" s="54" t="str">
        <x:v>Work location/remote terms not confirmed in opened excerpt</x:v>
      </x:c>
      <x:c r="H50" s="54" t="str">
        <x:v>Remote not confirmed - check employer</x:v>
      </x:c>
      <x:c r="I50" s="54" t="str">
        <x:v>Staff</x:v>
      </x:c>
      <x:c r="J50" s="54" t="str">
        <x:v>Not stated</x:v>
      </x:c>
      <x:c r="K50" s="54" t="str">
        <x:v>English</x:v>
      </x:c>
      <x:c r="L50" s="55" t="n">
        <x:v>0.5</x:v>
      </x:c>
      <x:c r="M50" s="54" t="str">
        <x:v>Remote/hiring country unverified</x:v>
      </x:c>
      <x:c r="N50" s="54" t="str">
        <x:v>Zephyr firmware for rail telemetry, power sequencing and platform controllers.</x:v>
      </x:c>
      <x:c r="O50" s="54" t="str">
        <x:v>MCU drivers, Zephyr device-tree, secure boot, silicon bring-up.</x:v>
      </x:c>
      <x:c r="P50" s="54" t="str">
        <x:v>BMS/rail telemetry, STM32 MCU experience.</x:v>
      </x:c>
      <x:c r="Q50" s="54" t="str">
        <x:v>Staff-level Zephyr upstream / pre-silicon enablement.</x:v>
      </x:c>
      <x:c r="R50" s="54" t="str">
        <x:v>Not disclosed</x:v>
      </x:c>
      <x:c r="S50" s="54"/>
      <x:c r="T50" s="54"/>
      <x:c r="U50" s="54" t="str"/>
      <x:c r="V50" s="54" t="str"/>
      <x:c r="W50" s="54" t="str">
        <x:v>Not disclosed</x:v>
      </x:c>
      <x:c r="X50" s="54" t="n">
        <x:v>2600</x:v>
      </x:c>
      <x:c r="Y50" s="56" t="n">
        <x:f>IF(X50="","",(X50-$B$5)/$B$5)</x:f>
        <x:v>0.6774193548387096</x:v>
      </x:c>
      <x:c r="Z50" s="54" t="str">
        <x:v>Full-time</x:v>
      </x:c>
      <x:c r="AA50" s="54" t="str">
        <x:v>https://ats.rippling.com/tylsemi/jobs/670a9725-cd9b-4dfa-8e7d-477104abbea1</x:v>
      </x:c>
      <x:c r="AB50" s="54" t="str"/>
      <x:c r="AC50" s="54" t="str">
        <x:v>Official employer</x:v>
      </x:c>
      <x:c r="AD50" s="54" t="str">
        <x:v>Not applied</x:v>
      </x:c>
      <x:c r="AE50" s="57"/>
      <x:c r="AF50" s="57"/>
      <x:c r="AG50" s="57" t="str">
        <x:v>Not in main remote-qualified group until remote location is verified.</x:v>
      </x:c>
      <x:c r="AH50" s="57" t="n">
        <x:v>46315</x:v>
      </x:c>
    </x:row>
    <x:row r="51" ht="54" customHeight="1">
      <x:c r="A51" s="78" t="n">
        <x:v>42</x:v>
      </x:c>
      <x:c r="B51" s="78" t="str">
        <x:v>VERIFY</x:v>
      </x:c>
      <x:c r="C51" s="54" t="str">
        <x:v>Employer job page verified</x:v>
      </x:c>
      <x:c r="D51" s="54" t="str">
        <x:v>Ubiety</x:v>
      </x:c>
      <x:c r="E51" s="54" t="str">
        <x:v>Senior Embedded Software Engineer</x:v>
      </x:c>
      <x:c r="F51" s="54" t="str">
        <x:v>Firmware / IoT</x:v>
      </x:c>
      <x:c r="G51" s="54" t="str">
        <x:v>Remote (Indeed); country not verified</x:v>
      </x:c>
      <x:c r="H51" s="54" t="str">
        <x:v>Remote region unconfirmed</x:v>
      </x:c>
      <x:c r="I51" s="54" t="str">
        <x:v>Senior</x:v>
      </x:c>
      <x:c r="J51" s="54" t="str">
        <x:v>5+</x:v>
      </x:c>
      <x:c r="K51" s="54" t="str">
        <x:v>English</x:v>
      </x:c>
      <x:c r="L51" s="55" t="n">
        <x:v>0.48</x:v>
      </x:c>
      <x:c r="M51" s="54" t="str">
        <x:v>Find direct employer application first</x:v>
      </x:c>
      <x:c r="N51" s="54" t="str">
        <x:v>Develop firmware for connected device fleets.</x:v>
      </x:c>
      <x:c r="O51" s="54" t="str">
        <x:v>5+ years firmware, IoT fleet security and connectivity.</x:v>
      </x:c>
      <x:c r="P51" s="54" t="str">
        <x:v>STM32, MQTT, hardware debugging.</x:v>
      </x:c>
      <x:c r="Q51" s="54" t="str">
        <x:v>Production fleet scale.</x:v>
      </x:c>
      <x:c r="R51" s="54" t="str">
        <x:v>$133,200-$163,200 yearly (Indeed)</x:v>
      </x:c>
      <x:c r="S51" s="54" t="n">
        <x:v>133200</x:v>
      </x:c>
      <x:c r="T51" s="54" t="n">
        <x:v>163200</x:v>
      </x:c>
      <x:c r="U51" s="54" t="str">
        <x:v>USD</x:v>
      </x:c>
      <x:c r="V51" s="54" t="str">
        <x:v>year</x:v>
      </x:c>
      <x:c r="W51" s="54" t="str">
        <x:v>Third-party advertised; applicability unknown</x:v>
      </x:c>
      <x:c r="X51" s="54" t="n">
        <x:v>2600</x:v>
      </x:c>
      <x:c r="Y51" s="56" t="n">
        <x:f>IF(X51="","",(X51-$B$5)/$B$5)</x:f>
        <x:v>0.6774193548387096</x:v>
      </x:c>
      <x:c r="Z51" s="54" t="str">
        <x:v>Full-time</x:v>
      </x:c>
      <x:c r="AA51" s="54" t="str">
        <x:v>https://www.indeed.com/q-remote-embedded-firmware-l-worldwide%2C-anywhere-jobs.html</x:v>
      </x:c>
      <x:c r="AB51" s="54" t="str"/>
      <x:c r="AC51" s="54" t="str">
        <x:v>Indeed aggregator / no direct employer application</x:v>
      </x:c>
      <x:c r="AD51" s="54" t="str">
        <x:v>Not applied</x:v>
      </x:c>
      <x:c r="AE51" s="57"/>
      <x:c r="AF51" s="57"/>
      <x:c r="AG51" s="57" t="str">
        <x:v>Open official URL, verify Tunisia hiring; tailor CV and apply.</x:v>
      </x:c>
      <x:c r="AH51" s="57" t="n">
        <x:v>46315</x:v>
      </x:c>
    </x:row>
    <x:row r="52" ht="54" customHeight="1">
      <x:c r="A52" s="78" t="n">
        <x:v>43</x:v>
      </x:c>
      <x:c r="B52" s="78" t="str">
        <x:v>VERIFY</x:v>
      </x:c>
      <x:c r="C52" s="54" t="str">
        <x:v>Employer job page verified</x:v>
      </x:c>
      <x:c r="D52" s="54" t="str">
        <x:v>Concurrent Technologies</x:v>
      </x:c>
      <x:c r="E52" s="54" t="str">
        <x:v>Embedded Software Engineer - BIOS</x:v>
      </x:c>
      <x:c r="F52" s="54" t="str">
        <x:v>Firmware / bootloader</x:v>
      </x:c>
      <x:c r="G52" s="54" t="str">
        <x:v>Indeed says Remote; country unspecified</x:v>
      </x:c>
      <x:c r="H52" s="54" t="str">
        <x:v>Remote region unconfirmed</x:v>
      </x:c>
      <x:c r="I52" s="54" t="str">
        <x:v>Experienced</x:v>
      </x:c>
      <x:c r="J52" s="54" t="str">
        <x:v>Not stated</x:v>
      </x:c>
      <x:c r="K52" s="54" t="str">
        <x:v>English</x:v>
      </x:c>
      <x:c r="L52" s="55" t="n">
        <x:v>0.38</x:v>
      </x:c>
      <x:c r="M52" s="54" t="str">
        <x:v>Find direct employer application first</x:v>
      </x:c>
      <x:c r="N52" s="54" t="str">
        <x:v>UEFI BIOS firmware on embedded computers.</x:v>
      </x:c>
      <x:c r="O52" s="54" t="str">
        <x:v>UEFI/EDK2, Intel FSP, bootloader firmware.</x:v>
      </x:c>
      <x:c r="P52" s="54" t="str">
        <x:v>Microcontrollers, Linux/boot sequence interest.</x:v>
      </x:c>
      <x:c r="Q52" s="54" t="str">
        <x:v>Professional UEFI/BIOS firmware.</x:v>
      </x:c>
      <x:c r="R52" s="54" t="str">
        <x:v>Not disclosed</x:v>
      </x:c>
      <x:c r="S52" s="54"/>
      <x:c r="T52" s="54"/>
      <x:c r="U52" s="54" t="str"/>
      <x:c r="V52" s="54" t="str"/>
      <x:c r="W52" s="54" t="str">
        <x:v>Not disclosed</x:v>
      </x:c>
      <x:c r="X52" s="54" t="n">
        <x:v>2600</x:v>
      </x:c>
      <x:c r="Y52" s="56" t="n">
        <x:f>IF(X52="","",(X52-$B$5)/$B$5)</x:f>
        <x:v>0.6774193548387096</x:v>
      </x:c>
      <x:c r="Z52" s="54" t="str">
        <x:v>Full-time</x:v>
      </x:c>
      <x:c r="AA52" s="54" t="str">
        <x:v>https://www.indeed.com/q-remote-embedded-firmware-l-worldwide%2C-anywhere-jobs.html</x:v>
      </x:c>
      <x:c r="AB52" s="54" t="str"/>
      <x:c r="AC52" s="54" t="str">
        <x:v>Indeed aggregator / no direct employer application</x:v>
      </x:c>
      <x:c r="AD52" s="54" t="str">
        <x:v>Not applied</x:v>
      </x:c>
      <x:c r="AE52" s="57"/>
      <x:c r="AF52" s="57"/>
      <x:c r="AG52" s="57" t="str">
        <x:v>Open official URL, verify Tunisia hiring; tailor CV and apply.</x:v>
      </x:c>
      <x:c r="AH52" s="57" t="n">
        <x:v>46315</x:v>
      </x:c>
    </x:row>
    <x:row r="53" ht="54" customHeight="1">
      <x:c r="A53" s="78" t="n">
        <x:v>44</x:v>
      </x:c>
      <x:c r="B53" s="78" t="str">
        <x:v>VERIFY</x:v>
      </x:c>
      <x:c r="C53" s="54" t="str">
        <x:v>Employer job page verified</x:v>
      </x:c>
      <x:c r="D53" s="54" t="str">
        <x:v>Deepgram</x:v>
      </x:c>
      <x:c r="E53" s="54" t="str">
        <x:v>Embedded AI Engineer - On-Device Models</x:v>
      </x:c>
      <x:c r="F53" s="54" t="str">
        <x:v>Embedded AI / Linux</x:v>
      </x:c>
      <x:c r="G53" s="54" t="str">
        <x:v>US salary / eligibility unresolved</x:v>
      </x:c>
      <x:c r="H53" s="54" t="str">
        <x:v>Remote region unconfirmed; likely US-only</x:v>
      </x:c>
      <x:c r="I53" s="54" t="str">
        <x:v>Senior</x:v>
      </x:c>
      <x:c r="J53" s="54" t="str">
        <x:v>Not stated</x:v>
      </x:c>
      <x:c r="K53" s="54" t="str">
        <x:v>English</x:v>
      </x:c>
      <x:c r="L53" s="55" t="n">
        <x:v>0.3</x:v>
      </x:c>
      <x:c r="M53" s="54" t="str">
        <x:v>Find direct employer application first</x:v>
      </x:c>
      <x:c r="N53" s="54" t="str">
        <x:v>Performance-critical embedded inference/runtime code.</x:v>
      </x:c>
      <x:c r="O53" s="54" t="str">
        <x:v>Embedded AI runtime, bare-metal/RTOS/Linux.</x:v>
      </x:c>
      <x:c r="P53" s="54" t="str">
        <x:v>C++ and low-level systems.</x:v>
      </x:c>
      <x:c r="Q53" s="54" t="str">
        <x:v>Embedded ML model runtime experience.</x:v>
      </x:c>
      <x:c r="R53" s="54" t="str">
        <x:v>$219,300-$274,100 (Indeed)</x:v>
      </x:c>
      <x:c r="S53" s="54" t="n">
        <x:v>219300</x:v>
      </x:c>
      <x:c r="T53" s="54" t="n">
        <x:v>274100</x:v>
      </x:c>
      <x:c r="U53" s="54" t="str">
        <x:v>USD</x:v>
      </x:c>
      <x:c r="V53" s="54" t="str">
        <x:v>year</x:v>
      </x:c>
      <x:c r="W53" s="54" t="str">
        <x:v>Third-party advertised; US compensation</x:v>
      </x:c>
      <x:c r="X53" s="54" t="n">
        <x:v>2600</x:v>
      </x:c>
      <x:c r="Y53" s="56" t="n">
        <x:f>IF(X53="","",(X53-$B$5)/$B$5)</x:f>
        <x:v>0.6774193548387096</x:v>
      </x:c>
      <x:c r="Z53" s="54" t="str">
        <x:v>Full-time</x:v>
      </x:c>
      <x:c r="AA53" s="54" t="str">
        <x:v>https://www.indeed.com/q-remote-embedded-firmware-l-worldwide%2C-anywhere-jobs.html</x:v>
      </x:c>
      <x:c r="AB53" s="54" t="str"/>
      <x:c r="AC53" s="54" t="str">
        <x:v>Indeed aggregator / no direct employer application</x:v>
      </x:c>
      <x:c r="AD53" s="54" t="str">
        <x:v>Not applied</x:v>
      </x:c>
      <x:c r="AE53" s="57"/>
      <x:c r="AF53" s="57"/>
      <x:c r="AG53" s="57" t="str">
        <x:v>Open official URL, verify Tunisia hiring; tailor CV and apply.</x:v>
      </x:c>
      <x:c r="AH53" s="57" t="n">
        <x:v>46315</x:v>
      </x:c>
    </x:row>
    <x:row r="54" ht="54" customHeight="1">
      <x:c r="A54" s="78" t="n">
        <x:v>45</x:v>
      </x:c>
      <x:c r="B54" s="78" t="str">
        <x:v>WATCH</x:v>
      </x:c>
      <x:c r="C54" s="54" t="str">
        <x:v>Company careers/watchlist; NOT a vacancy</x:v>
      </x:c>
      <x:c r="D54" s="54" t="str">
        <x:v>Canonical</x:v>
      </x:c>
      <x:c r="E54" s="54" t="str">
        <x:v>WATCHLIST - Junior device engineer / Linux support / firmware</x:v>
      </x:c>
      <x:c r="F54" s="54" t="str">
        <x:v>Company watchlist</x:v>
      </x:c>
      <x:c r="G54" s="54" t="str">
        <x:v>No currently verified Tunisia-remote position</x:v>
      </x:c>
      <x:c r="H54" s="54" t="str">
        <x:v>Monitor only</x:v>
      </x:c>
      <x:c r="I54" s="54" t="str">
        <x:v>Unknown</x:v>
      </x:c>
      <x:c r="J54" s="54" t="str">
        <x:v>Not stated</x:v>
      </x:c>
      <x:c r="K54" s="54" t="str">
        <x:v>English</x:v>
      </x:c>
      <x:c r="L54" s="55" t="n">
        <x:v>0.87</x:v>
      </x:c>
      <x:c r="M54" s="54" t="str">
        <x:v>No active position; cannot estimate</x:v>
      </x:c>
      <x:c r="N54" s="54" t="str">
        <x:v>Many global remote roles; use filters and avoid repeated generic applications.</x:v>
      </x:c>
      <x:c r="O54" s="54" t="str">
        <x:v>Wait for a suitable remote opening</x:v>
      </x:c>
      <x:c r="P54" s="54" t="str">
        <x:v>Company/domain aligned with embedded, Linux, firmware or IoT.</x:v>
      </x:c>
      <x:c r="Q54" s="54" t="str">
        <x:v>No confirmed remote-from-Tunisia listing; do not apply to nonexistent job.</x:v>
      </x:c>
      <x:c r="R54" s="54" t="str">
        <x:v>Not disclosed</x:v>
      </x:c>
      <x:c r="S54" s="54"/>
      <x:c r="T54" s="54"/>
      <x:c r="U54" s="54" t="str"/>
      <x:c r="V54" s="54" t="str"/>
      <x:c r="W54" s="54" t="str">
        <x:v>Not disclosed</x:v>
      </x:c>
      <x:c r="X54" s="54"/>
      <x:c r="Y54" s="56" t="str">
        <x:f>IF(X54="","",(X54-$B$5)/$B$5)</x:f>
      </x:c>
      <x:c r="Z54" s="54" t="str">
        <x:v>Full-time</x:v>
      </x:c>
      <x:c r="AA54" s="54" t="str">
        <x:v>https://canonical.com/careers/all</x:v>
      </x:c>
      <x:c r="AB54" s="54" t="str"/>
      <x:c r="AC54" s="54" t="str">
        <x:v>Official employer</x:v>
      </x:c>
      <x:c r="AD54" s="54" t="str">
        <x:v>Not applied</x:v>
      </x:c>
      <x:c r="AE54" s="57"/>
      <x:c r="AF54" s="57"/>
      <x:c r="AG54" s="57" t="str">
        <x:v>Bookmark or set vacancy alert; verify new roles and country policy.</x:v>
      </x:c>
      <x:c r="AH54" s="57" t="n">
        <x:v>46315</x:v>
      </x:c>
    </x:row>
    <x:row r="55" ht="54" customHeight="1">
      <x:c r="A55" s="78" t="n">
        <x:v>46</x:v>
      </x:c>
      <x:c r="B55" s="78" t="str">
        <x:v>WATCH</x:v>
      </x:c>
      <x:c r="C55" s="54" t="str">
        <x:v>Company careers/watchlist; NOT a vacancy</x:v>
      </x:c>
      <x:c r="D55" s="54" t="str">
        <x:v>Collabora</x:v>
      </x:c>
      <x:c r="E55" s="54" t="str">
        <x:v>WATCHLIST - Embedded Linux / BSP / upstream Linux</x:v>
      </x:c>
      <x:c r="F55" s="54" t="str">
        <x:v>Company watchlist</x:v>
      </x:c>
      <x:c r="G55" s="54" t="str">
        <x:v>No currently verified Tunisia-remote position</x:v>
      </x:c>
      <x:c r="H55" s="54" t="str">
        <x:v>Monitor only</x:v>
      </x:c>
      <x:c r="I55" s="54" t="str">
        <x:v>Unknown</x:v>
      </x:c>
      <x:c r="J55" s="54" t="str">
        <x:v>Not stated</x:v>
      </x:c>
      <x:c r="K55" s="54" t="str">
        <x:v>English</x:v>
      </x:c>
      <x:c r="L55" s="55" t="n">
        <x:v>0.84</x:v>
      </x:c>
      <x:c r="M55" s="54" t="str">
        <x:v>No active position; cannot estimate</x:v>
      </x:c>
      <x:c r="N55" s="54" t="str">
        <x:v>2 current official remote postings; monitor junior/Linux QA openings.</x:v>
      </x:c>
      <x:c r="O55" s="54" t="str">
        <x:v>Wait for a suitable remote opening</x:v>
      </x:c>
      <x:c r="P55" s="54" t="str">
        <x:v>Company/domain aligned with embedded, Linux, firmware or IoT.</x:v>
      </x:c>
      <x:c r="Q55" s="54" t="str">
        <x:v>No confirmed remote-from-Tunisia listing; do not apply to nonexistent job.</x:v>
      </x:c>
      <x:c r="R55" s="54" t="str">
        <x:v>Not disclosed</x:v>
      </x:c>
      <x:c r="S55" s="54"/>
      <x:c r="T55" s="54"/>
      <x:c r="U55" s="54" t="str"/>
      <x:c r="V55" s="54" t="str"/>
      <x:c r="W55" s="54" t="str">
        <x:v>Not disclosed</x:v>
      </x:c>
      <x:c r="X55" s="54"/>
      <x:c r="Y55" s="56" t="str">
        <x:f>IF(X55="","",(X55-$B$5)/$B$5)</x:f>
      </x:c>
      <x:c r="Z55" s="54" t="str">
        <x:v>Full-time</x:v>
      </x:c>
      <x:c r="AA55" s="54" t="str">
        <x:v>https://jobs.lever.co/collabora</x:v>
      </x:c>
      <x:c r="AB55" s="54" t="str"/>
      <x:c r="AC55" s="54" t="str">
        <x:v>Official employer</x:v>
      </x:c>
      <x:c r="AD55" s="54" t="str">
        <x:v>Not applied</x:v>
      </x:c>
      <x:c r="AE55" s="57"/>
      <x:c r="AF55" s="57"/>
      <x:c r="AG55" s="57" t="str">
        <x:v>Bookmark or set vacancy alert; verify new roles and country policy.</x:v>
      </x:c>
      <x:c r="AH55" s="57" t="n">
        <x:v>46315</x:v>
      </x:c>
    </x:row>
    <x:row r="56" ht="54" customHeight="1">
      <x:c r="A56" s="78" t="n">
        <x:v>47</x:v>
      </x:c>
      <x:c r="B56" s="78" t="str">
        <x:v>WATCH</x:v>
      </x:c>
      <x:c r="C56" s="54" t="str">
        <x:v>Company careers/watchlist; NOT a vacancy</x:v>
      </x:c>
      <x:c r="D56" s="54" t="str">
        <x:v>Toradex</x:v>
      </x:c>
      <x:c r="E56" s="54" t="str">
        <x:v>WATCHLIST - Torizon/Yocto technical support &amp; device platform</x:v>
      </x:c>
      <x:c r="F56" s="54" t="str">
        <x:v>Company watchlist</x:v>
      </x:c>
      <x:c r="G56" s="54" t="str">
        <x:v>No currently verified Tunisia-remote position</x:v>
      </x:c>
      <x:c r="H56" s="54" t="str">
        <x:v>Monitor only</x:v>
      </x:c>
      <x:c r="I56" s="54" t="str">
        <x:v>Unknown</x:v>
      </x:c>
      <x:c r="J56" s="54" t="str">
        <x:v>Not stated</x:v>
      </x:c>
      <x:c r="K56" s="54" t="str">
        <x:v>English</x:v>
      </x:c>
      <x:c r="L56" s="55" t="n">
        <x:v>0.79</x:v>
      </x:c>
      <x:c r="M56" s="54" t="str">
        <x:v>No active position; cannot estimate</x:v>
      </x:c>
      <x:c r="N56" s="54" t="str">
        <x:v>Currently advertised roles list specific offices/countries; not a verified Tunisia-remote opening.</x:v>
      </x:c>
      <x:c r="O56" s="54" t="str">
        <x:v>Wait for a suitable remote opening</x:v>
      </x:c>
      <x:c r="P56" s="54" t="str">
        <x:v>Company/domain aligned with embedded, Linux, firmware or IoT.</x:v>
      </x:c>
      <x:c r="Q56" s="54" t="str">
        <x:v>No confirmed remote-from-Tunisia listing; do not apply to nonexistent job.</x:v>
      </x:c>
      <x:c r="R56" s="54" t="str">
        <x:v>Not disclosed</x:v>
      </x:c>
      <x:c r="S56" s="54"/>
      <x:c r="T56" s="54"/>
      <x:c r="U56" s="54" t="str"/>
      <x:c r="V56" s="54" t="str"/>
      <x:c r="W56" s="54" t="str">
        <x:v>Not disclosed</x:v>
      </x:c>
      <x:c r="X56" s="54"/>
      <x:c r="Y56" s="56" t="str">
        <x:f>IF(X56="","",(X56-$B$5)/$B$5)</x:f>
      </x:c>
      <x:c r="Z56" s="54" t="str">
        <x:v>Full-time</x:v>
      </x:c>
      <x:c r="AA56" s="54" t="str">
        <x:v>https://job-boards.greenhouse.io/toradex</x:v>
      </x:c>
      <x:c r="AB56" s="54" t="str"/>
      <x:c r="AC56" s="54" t="str">
        <x:v>Official employer</x:v>
      </x:c>
      <x:c r="AD56" s="54" t="str">
        <x:v>Not applied</x:v>
      </x:c>
      <x:c r="AE56" s="57"/>
      <x:c r="AF56" s="57"/>
      <x:c r="AG56" s="57" t="str">
        <x:v>Bookmark or set vacancy alert; verify new roles and country policy.</x:v>
      </x:c>
      <x:c r="AH56" s="57" t="n">
        <x:v>46315</x:v>
      </x:c>
    </x:row>
    <x:row r="57" ht="54" customHeight="1">
      <x:c r="A57" s="78" t="n">
        <x:v>48</x:v>
      </x:c>
      <x:c r="B57" s="78" t="str">
        <x:v>WATCH</x:v>
      </x:c>
      <x:c r="C57" s="54" t="str">
        <x:v>Company careers/watchlist; NOT a vacancy</x:v>
      </x:c>
      <x:c r="D57" s="54" t="str">
        <x:v>Pantacor</x:v>
      </x:c>
      <x:c r="E57" s="54" t="str">
        <x:v>WATCHLIST - OTA Embedded Linux and container management</x:v>
      </x:c>
      <x:c r="F57" s="54" t="str">
        <x:v>Company watchlist</x:v>
      </x:c>
      <x:c r="G57" s="54" t="str">
        <x:v>No currently verified Tunisia-remote position</x:v>
      </x:c>
      <x:c r="H57" s="54" t="str">
        <x:v>Monitor only</x:v>
      </x:c>
      <x:c r="I57" s="54" t="str">
        <x:v>Unknown</x:v>
      </x:c>
      <x:c r="J57" s="54" t="str">
        <x:v>Not stated</x:v>
      </x:c>
      <x:c r="K57" s="54" t="str">
        <x:v>English</x:v>
      </x:c>
      <x:c r="L57" s="55" t="n">
        <x:v>0.78</x:v>
      </x:c>
      <x:c r="M57" s="54" t="str">
        <x:v>No active position; cannot estimate</x:v>
      </x:c>
      <x:c r="N57" s="54" t="str">
        <x:v>Specific senior role above is live; monitor junior/mid opportunities.</x:v>
      </x:c>
      <x:c r="O57" s="54" t="str">
        <x:v>Wait for a suitable remote opening</x:v>
      </x:c>
      <x:c r="P57" s="54" t="str">
        <x:v>Company/domain aligned with embedded, Linux, firmware or IoT.</x:v>
      </x:c>
      <x:c r="Q57" s="54" t="str">
        <x:v>No confirmed remote-from-Tunisia listing; do not apply to nonexistent job.</x:v>
      </x:c>
      <x:c r="R57" s="54" t="str">
        <x:v>Not disclosed</x:v>
      </x:c>
      <x:c r="S57" s="54"/>
      <x:c r="T57" s="54"/>
      <x:c r="U57" s="54" t="str"/>
      <x:c r="V57" s="54" t="str"/>
      <x:c r="W57" s="54" t="str">
        <x:v>Not disclosed</x:v>
      </x:c>
      <x:c r="X57" s="54"/>
      <x:c r="Y57" s="56" t="str">
        <x:f>IF(X57="","",(X57-$B$5)/$B$5)</x:f>
      </x:c>
      <x:c r="Z57" s="54" t="str">
        <x:v>Full-time</x:v>
      </x:c>
      <x:c r="AA57" s="54" t="str">
        <x:v>https://pantacor.com/careers/</x:v>
      </x:c>
      <x:c r="AB57" s="54" t="str"/>
      <x:c r="AC57" s="54" t="str">
        <x:v>Official employer</x:v>
      </x:c>
      <x:c r="AD57" s="54" t="str">
        <x:v>Not applied</x:v>
      </x:c>
      <x:c r="AE57" s="57"/>
      <x:c r="AF57" s="57"/>
      <x:c r="AG57" s="57" t="str">
        <x:v>Bookmark or set vacancy alert; verify new roles and country policy.</x:v>
      </x:c>
      <x:c r="AH57" s="57" t="n">
        <x:v>46315</x:v>
      </x:c>
    </x:row>
    <x:row r="58" ht="54" customHeight="1">
      <x:c r="A58" s="78" t="n">
        <x:v>49</x:v>
      </x:c>
      <x:c r="B58" s="78" t="str">
        <x:v>WATCH</x:v>
      </x:c>
      <x:c r="C58" s="54" t="str">
        <x:v>Company careers/watchlist; NOT a vacancy</x:v>
      </x:c>
      <x:c r="D58" s="54" t="str">
        <x:v>Nordic Semiconductor</x:v>
      </x:c>
      <x:c r="E58" s="54" t="str">
        <x:v>WATCHLIST - Zephyr RTOS / nRF Cloud / Memfault SDK</x:v>
      </x:c>
      <x:c r="F58" s="54" t="str">
        <x:v>Company watchlist</x:v>
      </x:c>
      <x:c r="G58" s="54" t="str">
        <x:v>No currently verified Tunisia-remote position</x:v>
      </x:c>
      <x:c r="H58" s="54" t="str">
        <x:v>Monitor only</x:v>
      </x:c>
      <x:c r="I58" s="54" t="str">
        <x:v>Unknown</x:v>
      </x:c>
      <x:c r="J58" s="54" t="str">
        <x:v>Not stated</x:v>
      </x:c>
      <x:c r="K58" s="54" t="str">
        <x:v>English</x:v>
      </x:c>
      <x:c r="L58" s="55" t="n">
        <x:v>0.76</x:v>
      </x:c>
      <x:c r="M58" s="54" t="str">
        <x:v>No active position; cannot estimate</x:v>
      </x:c>
      <x:c r="N58" s="54" t="str">
        <x:v>Embedded OS field role located Boston hybrid; watch for global remote.</x:v>
      </x:c>
      <x:c r="O58" s="54" t="str">
        <x:v>Wait for a suitable remote opening</x:v>
      </x:c>
      <x:c r="P58" s="54" t="str">
        <x:v>Company/domain aligned with embedded, Linux, firmware or IoT.</x:v>
      </x:c>
      <x:c r="Q58" s="54" t="str">
        <x:v>No confirmed remote-from-Tunisia listing; do not apply to nonexistent job.</x:v>
      </x:c>
      <x:c r="R58" s="54" t="str">
        <x:v>Not disclosed</x:v>
      </x:c>
      <x:c r="S58" s="54"/>
      <x:c r="T58" s="54"/>
      <x:c r="U58" s="54" t="str"/>
      <x:c r="V58" s="54" t="str"/>
      <x:c r="W58" s="54" t="str">
        <x:v>Not disclosed</x:v>
      </x:c>
      <x:c r="X58" s="54"/>
      <x:c r="Y58" s="56" t="str">
        <x:f>IF(X58="","",(X58-$B$5)/$B$5)</x:f>
      </x:c>
      <x:c r="Z58" s="54" t="str">
        <x:v>Full-time</x:v>
      </x:c>
      <x:c r="AA58" s="54" t="str">
        <x:v>https://careers.nordicsemi.com/jobs</x:v>
      </x:c>
      <x:c r="AB58" s="54" t="str"/>
      <x:c r="AC58" s="54" t="str">
        <x:v>Official employer</x:v>
      </x:c>
      <x:c r="AD58" s="54" t="str">
        <x:v>Not applied</x:v>
      </x:c>
      <x:c r="AE58" s="57"/>
      <x:c r="AF58" s="57"/>
      <x:c r="AG58" s="57" t="str">
        <x:v>Bookmark or set vacancy alert; verify new roles and country policy.</x:v>
      </x:c>
      <x:c r="AH58" s="57" t="n">
        <x:v>46315</x:v>
      </x:c>
    </x:row>
    <x:row r="59" ht="54" customHeight="1">
      <x:c r="A59" s="78" t="n">
        <x:v>50</x:v>
      </x:c>
      <x:c r="B59" s="78" t="str">
        <x:v>WATCH</x:v>
      </x:c>
      <x:c r="C59" s="54" t="str">
        <x:v>Company careers/watchlist; NOT a vacancy</x:v>
      </x:c>
      <x:c r="D59" s="54" t="str">
        <x:v>Balena</x:v>
      </x:c>
      <x:c r="E59" s="54" t="str">
        <x:v>WATCHLIST - Linux IoT OS / device fleet engineering</x:v>
      </x:c>
      <x:c r="F59" s="54" t="str">
        <x:v>Company watchlist</x:v>
      </x:c>
      <x:c r="G59" s="54" t="str">
        <x:v>No currently verified Tunisia-remote position</x:v>
      </x:c>
      <x:c r="H59" s="54" t="str">
        <x:v>Monitor only</x:v>
      </x:c>
      <x:c r="I59" s="54" t="str">
        <x:v>Unknown</x:v>
      </x:c>
      <x:c r="J59" s="54" t="str">
        <x:v>Not stated</x:v>
      </x:c>
      <x:c r="K59" s="54" t="str">
        <x:v>English</x:v>
      </x:c>
      <x:c r="L59" s="55" t="n">
        <x:v>0.72</x:v>
      </x:c>
      <x:c r="M59" s="54" t="str">
        <x:v>No active position; cannot estimate</x:v>
      </x:c>
      <x:c r="N59" s="54" t="str">
        <x:v>Official careers confirms 0 active vacancies; track future remote roles.</x:v>
      </x:c>
      <x:c r="O59" s="54" t="str">
        <x:v>Wait for a suitable remote opening</x:v>
      </x:c>
      <x:c r="P59" s="54" t="str">
        <x:v>Company/domain aligned with embedded, Linux, firmware or IoT.</x:v>
      </x:c>
      <x:c r="Q59" s="54" t="str">
        <x:v>No confirmed remote-from-Tunisia listing; do not apply to nonexistent job.</x:v>
      </x:c>
      <x:c r="R59" s="54" t="str">
        <x:v>Not disclosed</x:v>
      </x:c>
      <x:c r="S59" s="54"/>
      <x:c r="T59" s="54"/>
      <x:c r="U59" s="54" t="str"/>
      <x:c r="V59" s="54" t="str"/>
      <x:c r="W59" s="54" t="str">
        <x:v>Not disclosed</x:v>
      </x:c>
      <x:c r="X59" s="54"/>
      <x:c r="Y59" s="56" t="str">
        <x:f>IF(X59="","",(X59-$B$5)/$B$5)</x:f>
      </x:c>
      <x:c r="Z59" s="54" t="str">
        <x:v>Full-time</x:v>
      </x:c>
      <x:c r="AA59" s="54" t="str">
        <x:v>https://jobs.balena.io/jobs</x:v>
      </x:c>
      <x:c r="AB59" s="54" t="str"/>
      <x:c r="AC59" s="54" t="str">
        <x:v>Official employer</x:v>
      </x:c>
      <x:c r="AD59" s="54" t="str">
        <x:v>Not applied</x:v>
      </x:c>
      <x:c r="AE59" s="57"/>
      <x:c r="AF59" s="57"/>
      <x:c r="AG59" s="57" t="str">
        <x:v>Bookmark or set vacancy alert; verify new roles and country policy.</x:v>
      </x:c>
      <x:c r="AH59" s="57" t="n">
        <x:v>46315</x:v>
      </x:c>
    </x:row>
    <x:row r="60" ht="54" customHeight="1">
      <x:c r="A60" s="78" t="n">
        <x:v>51</x:v>
      </x:c>
      <x:c r="B60" s="78" t="str">
        <x:v>WATCH</x:v>
      </x:c>
      <x:c r="C60" s="54" t="str">
        <x:v>Company careers/watchlist; NOT a vacancy</x:v>
      </x:c>
      <x:c r="D60" s="54" t="str">
        <x:v>Igalia</x:v>
      </x:c>
      <x:c r="E60" s="54" t="str">
        <x:v>WATCHLIST - Open-source systems / embedded C++ / kernel</x:v>
      </x:c>
      <x:c r="F60" s="54" t="str">
        <x:v>Company watchlist</x:v>
      </x:c>
      <x:c r="G60" s="54" t="str">
        <x:v>No currently verified Tunisia-remote position</x:v>
      </x:c>
      <x:c r="H60" s="54" t="str">
        <x:v>Monitor only</x:v>
      </x:c>
      <x:c r="I60" s="54" t="str">
        <x:v>Unknown</x:v>
      </x:c>
      <x:c r="J60" s="54" t="str">
        <x:v>Not stated</x:v>
      </x:c>
      <x:c r="K60" s="54" t="str">
        <x:v>English</x:v>
      </x:c>
      <x:c r="L60" s="55" t="n">
        <x:v>0.69</x:v>
      </x:c>
      <x:c r="M60" s="54" t="str">
        <x:v>No active position; cannot estimate</x:v>
      </x:c>
      <x:c r="N60" s="54" t="str">
        <x:v>Multiple roles now open; watch early-career coding track.</x:v>
      </x:c>
      <x:c r="O60" s="54" t="str">
        <x:v>Wait for a suitable remote opening</x:v>
      </x:c>
      <x:c r="P60" s="54" t="str">
        <x:v>Company/domain aligned with embedded, Linux, firmware or IoT.</x:v>
      </x:c>
      <x:c r="Q60" s="54" t="str">
        <x:v>No confirmed remote-from-Tunisia listing; do not apply to nonexistent job.</x:v>
      </x:c>
      <x:c r="R60" s="54" t="str">
        <x:v>Not disclosed</x:v>
      </x:c>
      <x:c r="S60" s="54"/>
      <x:c r="T60" s="54"/>
      <x:c r="U60" s="54" t="str"/>
      <x:c r="V60" s="54" t="str"/>
      <x:c r="W60" s="54" t="str">
        <x:v>Not disclosed</x:v>
      </x:c>
      <x:c r="X60" s="54"/>
      <x:c r="Y60" s="56" t="str">
        <x:f>IF(X60="","",(X60-$B$5)/$B$5)</x:f>
      </x:c>
      <x:c r="Z60" s="54" t="str">
        <x:v>Full-time</x:v>
      </x:c>
      <x:c r="AA60" s="54" t="str">
        <x:v>https://www.igalia.com/jobs/open/</x:v>
      </x:c>
      <x:c r="AB60" s="54" t="str"/>
      <x:c r="AC60" s="54" t="str">
        <x:v>Official employer</x:v>
      </x:c>
      <x:c r="AD60" s="54" t="str">
        <x:v>Not applied</x:v>
      </x:c>
      <x:c r="AE60" s="57"/>
      <x:c r="AF60" s="57"/>
      <x:c r="AG60" s="57" t="str">
        <x:v>Bookmark or set vacancy alert; verify new roles and country policy.</x:v>
      </x:c>
      <x:c r="AH60" s="57" t="n">
        <x:v>46315</x:v>
      </x:c>
    </x:row>
    <x:row r="61" ht="54" customHeight="1">
      <x:c r="A61" s="78" t="n">
        <x:v>52</x:v>
      </x:c>
      <x:c r="B61" s="78" t="str">
        <x:v>WATCH</x:v>
      </x:c>
      <x:c r="C61" s="54" t="str">
        <x:v>Company careers/watchlist; NOT a vacancy</x:v>
      </x:c>
      <x:c r="D61" s="54" t="str">
        <x:v>InnoPhase IoT</x:v>
      </x:c>
      <x:c r="E61" s="54" t="str">
        <x:v>WATCHLIST - MCU/Bluetooth/WiFi firmware</x:v>
      </x:c>
      <x:c r="F61" s="54" t="str">
        <x:v>Company watchlist</x:v>
      </x:c>
      <x:c r="G61" s="54" t="str">
        <x:v>No currently verified Tunisia-remote position</x:v>
      </x:c>
      <x:c r="H61" s="54" t="str">
        <x:v>Monitor only</x:v>
      </x:c>
      <x:c r="I61" s="54" t="str">
        <x:v>Unknown</x:v>
      </x:c>
      <x:c r="J61" s="54" t="str">
        <x:v>Not stated</x:v>
      </x:c>
      <x:c r="K61" s="54" t="str">
        <x:v>English</x:v>
      </x:c>
      <x:c r="L61" s="55" t="n">
        <x:v>0.68</x:v>
      </x:c>
      <x:c r="M61" s="54" t="str">
        <x:v>No active position; cannot estimate</x:v>
      </x:c>
      <x:c r="N61" s="54" t="str">
        <x:v>Official IoT openings list US/India offices; remote-from-Tunisia not advertised.</x:v>
      </x:c>
      <x:c r="O61" s="54" t="str">
        <x:v>Wait for a suitable remote opening</x:v>
      </x:c>
      <x:c r="P61" s="54" t="str">
        <x:v>Company/domain aligned with embedded, Linux, firmware or IoT.</x:v>
      </x:c>
      <x:c r="Q61" s="54" t="str">
        <x:v>No confirmed remote-from-Tunisia listing; do not apply to nonexistent job.</x:v>
      </x:c>
      <x:c r="R61" s="54" t="str">
        <x:v>Not disclosed</x:v>
      </x:c>
      <x:c r="S61" s="54"/>
      <x:c r="T61" s="54"/>
      <x:c r="U61" s="54" t="str"/>
      <x:c r="V61" s="54" t="str"/>
      <x:c r="W61" s="54" t="str">
        <x:v>Not disclosed</x:v>
      </x:c>
      <x:c r="X61" s="54"/>
      <x:c r="Y61" s="56" t="str">
        <x:f>IF(X61="","",(X61-$B$5)/$B$5)</x:f>
      </x:c>
      <x:c r="Z61" s="54" t="str">
        <x:v>Full-time</x:v>
      </x:c>
      <x:c r="AA61" s="54" t="str">
        <x:v>https://job-boards.greenhouse.io/innophaseiot</x:v>
      </x:c>
      <x:c r="AB61" s="54" t="str"/>
      <x:c r="AC61" s="54" t="str">
        <x:v>Official employer</x:v>
      </x:c>
      <x:c r="AD61" s="54" t="str">
        <x:v>Not applied</x:v>
      </x:c>
      <x:c r="AE61" s="57"/>
      <x:c r="AF61" s="57"/>
      <x:c r="AG61" s="57" t="str">
        <x:v>Bookmark or set vacancy alert; verify new roles and country policy.</x:v>
      </x:c>
      <x:c r="AH61" s="57" t="n">
        <x:v>46315</x:v>
      </x:c>
    </x:row>
    <x:row r="62" ht="54" customHeight="1">
      <x:c r="A62" s="78" t="n">
        <x:v>53</x:v>
      </x:c>
      <x:c r="B62" s="78" t="str">
        <x:v>WATCH</x:v>
      </x:c>
      <x:c r="C62" s="54" t="str">
        <x:v>Company careers/watchlist; NOT a vacancy</x:v>
      </x:c>
      <x:c r="D62" s="54" t="str">
        <x:v>Linaro</x:v>
      </x:c>
      <x:c r="E62" s="54" t="str">
        <x:v>WATCHLIST - Arm Linux / BSP / testing</x:v>
      </x:c>
      <x:c r="F62" s="54" t="str">
        <x:v>Company watchlist</x:v>
      </x:c>
      <x:c r="G62" s="54" t="str">
        <x:v>No currently verified Tunisia-remote position</x:v>
      </x:c>
      <x:c r="H62" s="54" t="str">
        <x:v>Monitor only</x:v>
      </x:c>
      <x:c r="I62" s="54" t="str">
        <x:v>Unknown</x:v>
      </x:c>
      <x:c r="J62" s="54" t="str">
        <x:v>Not stated</x:v>
      </x:c>
      <x:c r="K62" s="54" t="str">
        <x:v>English</x:v>
      </x:c>
      <x:c r="L62" s="55" t="n">
        <x:v>0.68</x:v>
      </x:c>
      <x:c r="M62" s="54" t="str">
        <x:v>No active position; cannot estimate</x:v>
      </x:c>
      <x:c r="N62" s="54" t="str">
        <x:v>Official portal says no currently open positions; worldwide hiring not guaranteed.</x:v>
      </x:c>
      <x:c r="O62" s="54" t="str">
        <x:v>Wait for a suitable remote opening</x:v>
      </x:c>
      <x:c r="P62" s="54" t="str">
        <x:v>Company/domain aligned with embedded, Linux, firmware or IoT.</x:v>
      </x:c>
      <x:c r="Q62" s="54" t="str">
        <x:v>No confirmed remote-from-Tunisia listing; do not apply to nonexistent job.</x:v>
      </x:c>
      <x:c r="R62" s="54" t="str">
        <x:v>Not disclosed</x:v>
      </x:c>
      <x:c r="S62" s="54"/>
      <x:c r="T62" s="54"/>
      <x:c r="U62" s="54" t="str"/>
      <x:c r="V62" s="54" t="str"/>
      <x:c r="W62" s="54" t="str">
        <x:v>Not disclosed</x:v>
      </x:c>
      <x:c r="X62" s="54"/>
      <x:c r="Y62" s="56" t="str">
        <x:f>IF(X62="","",(X62-$B$5)/$B$5)</x:f>
      </x:c>
      <x:c r="Z62" s="54" t="str">
        <x:v>Full-time</x:v>
      </x:c>
      <x:c r="AA62" s="54" t="str">
        <x:v>https://careers.linaro.org/jobs</x:v>
      </x:c>
      <x:c r="AB62" s="54" t="str"/>
      <x:c r="AC62" s="54" t="str">
        <x:v>Official employer</x:v>
      </x:c>
      <x:c r="AD62" s="54" t="str">
        <x:v>Not applied</x:v>
      </x:c>
      <x:c r="AE62" s="57"/>
      <x:c r="AF62" s="57"/>
      <x:c r="AG62" s="57" t="str">
        <x:v>Bookmark or set vacancy alert; verify new roles and country policy.</x:v>
      </x:c>
      <x:c r="AH62" s="57" t="n">
        <x:v>46315</x:v>
      </x:c>
    </x:row>
    <x:row r="63" ht="54" customHeight="1">
      <x:c r="A63" s="78" t="n">
        <x:v>54</x:v>
      </x:c>
      <x:c r="B63" s="78" t="str">
        <x:v>WATCH</x:v>
      </x:c>
      <x:c r="C63" s="54" t="str">
        <x:v>Company careers/watchlist; NOT a vacancy</x:v>
      </x:c>
      <x:c r="D63" s="54" t="str">
        <x:v>Antmicro</x:v>
      </x:c>
      <x:c r="E63" s="54" t="str">
        <x:v>WATCHLIST - C/C++ / Linux / FPGA / embedded R&amp;D</x:v>
      </x:c>
      <x:c r="F63" s="54" t="str">
        <x:v>Company watchlist</x:v>
      </x:c>
      <x:c r="G63" s="54" t="str">
        <x:v>No currently verified Tunisia-remote position</x:v>
      </x:c>
      <x:c r="H63" s="54" t="str">
        <x:v>Monitor only</x:v>
      </x:c>
      <x:c r="I63" s="54" t="str">
        <x:v>Unknown</x:v>
      </x:c>
      <x:c r="J63" s="54" t="str">
        <x:v>Not stated</x:v>
      </x:c>
      <x:c r="K63" s="54" t="str">
        <x:v>English</x:v>
      </x:c>
      <x:c r="L63" s="55" t="n">
        <x:v>0.63</x:v>
      </x:c>
      <x:c r="M63" s="54" t="str">
        <x:v>No active position; cannot estimate</x:v>
      </x:c>
      <x:c r="N63" s="54" t="str">
        <x:v>Open roles presently name EU offices; confirm remote Tunisia, not guaranteed.</x:v>
      </x:c>
      <x:c r="O63" s="54" t="str">
        <x:v>Wait for a suitable remote opening</x:v>
      </x:c>
      <x:c r="P63" s="54" t="str">
        <x:v>Company/domain aligned with embedded, Linux, firmware or IoT.</x:v>
      </x:c>
      <x:c r="Q63" s="54" t="str">
        <x:v>No confirmed remote-from-Tunisia listing; do not apply to nonexistent job.</x:v>
      </x:c>
      <x:c r="R63" s="54" t="str">
        <x:v>Not disclosed</x:v>
      </x:c>
      <x:c r="S63" s="54"/>
      <x:c r="T63" s="54"/>
      <x:c r="U63" s="54" t="str"/>
      <x:c r="V63" s="54" t="str"/>
      <x:c r="W63" s="54" t="str">
        <x:v>Not disclosed</x:v>
      </x:c>
      <x:c r="X63" s="54"/>
      <x:c r="Y63" s="56" t="str">
        <x:f>IF(X63="","",(X63-$B$5)/$B$5)</x:f>
      </x:c>
      <x:c r="Z63" s="54" t="str">
        <x:v>Full-time</x:v>
      </x:c>
      <x:c r="AA63" s="54" t="str">
        <x:v>https://careers.antmicro.com/</x:v>
      </x:c>
      <x:c r="AB63" s="54" t="str"/>
      <x:c r="AC63" s="54" t="str">
        <x:v>Official employer</x:v>
      </x:c>
      <x:c r="AD63" s="54" t="str">
        <x:v>Not applied</x:v>
      </x:c>
      <x:c r="AE63" s="57"/>
      <x:c r="AF63" s="57"/>
      <x:c r="AG63" s="57" t="str">
        <x:v>Bookmark or set vacancy alert; verify new roles and country policy.</x:v>
      </x:c>
      <x:c r="AH63" s="57" t="n">
        <x:v>46315</x:v>
      </x:c>
    </x:row>
    <x:row r="64" ht="54" customHeight="1">
      <x:c r="A64" s="78" t="n">
        <x:v>55</x:v>
      </x:c>
      <x:c r="B64" s="78" t="str">
        <x:v>WATCH</x:v>
      </x:c>
      <x:c r="C64" s="54" t="str">
        <x:v>Company careers/watchlist; NOT a vacancy</x:v>
      </x:c>
      <x:c r="D64" s="54" t="str">
        <x:v>Qt Group</x:v>
      </x:c>
      <x:c r="E64" s="54" t="str">
        <x:v>WATCHLIST - Qt Embedded / MCU / IAR support</x:v>
      </x:c>
      <x:c r="F64" s="54" t="str">
        <x:v>Company watchlist</x:v>
      </x:c>
      <x:c r="G64" s="54" t="str">
        <x:v>No currently verified Tunisia-remote position</x:v>
      </x:c>
      <x:c r="H64" s="54" t="str">
        <x:v>Monitor only</x:v>
      </x:c>
      <x:c r="I64" s="54" t="str">
        <x:v>Unknown</x:v>
      </x:c>
      <x:c r="J64" s="54" t="str">
        <x:v>Not stated</x:v>
      </x:c>
      <x:c r="K64" s="54" t="str">
        <x:v>English</x:v>
      </x:c>
      <x:c r="L64" s="55" t="n">
        <x:v>0.62</x:v>
      </x:c>
      <x:c r="M64" s="54" t="str">
        <x:v>No active position; cannot estimate</x:v>
      </x:c>
      <x:c r="N64" s="54" t="str">
        <x:v>Open roles published with specific offices; monitor country eligibility.</x:v>
      </x:c>
      <x:c r="O64" s="54" t="str">
        <x:v>Wait for a suitable remote opening</x:v>
      </x:c>
      <x:c r="P64" s="54" t="str">
        <x:v>Company/domain aligned with embedded, Linux, firmware or IoT.</x:v>
      </x:c>
      <x:c r="Q64" s="54" t="str">
        <x:v>No confirmed remote-from-Tunisia listing; do not apply to nonexistent job.</x:v>
      </x:c>
      <x:c r="R64" s="54" t="str">
        <x:v>Not disclosed</x:v>
      </x:c>
      <x:c r="S64" s="54"/>
      <x:c r="T64" s="54"/>
      <x:c r="U64" s="54" t="str"/>
      <x:c r="V64" s="54" t="str"/>
      <x:c r="W64" s="54" t="str">
        <x:v>Not disclosed</x:v>
      </x:c>
      <x:c r="X64" s="54"/>
      <x:c r="Y64" s="56" t="str">
        <x:f>IF(X64="","",(X64-$B$5)/$B$5)</x:f>
      </x:c>
      <x:c r="Z64" s="54" t="str">
        <x:v>Full-time</x:v>
      </x:c>
      <x:c r="AA64" s="54" t="str">
        <x:v>https://www.qt.io/careers/open-positions</x:v>
      </x:c>
      <x:c r="AB64" s="54" t="str"/>
      <x:c r="AC64" s="54" t="str">
        <x:v>Official employer</x:v>
      </x:c>
      <x:c r="AD64" s="54" t="str">
        <x:v>Not applied</x:v>
      </x:c>
      <x:c r="AE64" s="57"/>
      <x:c r="AF64" s="57"/>
      <x:c r="AG64" s="57" t="str">
        <x:v>Bookmark or set vacancy alert; verify new roles and country policy.</x:v>
      </x:c>
      <x:c r="AH64" s="57" t="n">
        <x:v>46315</x:v>
      </x:c>
    </x:row>
    <x:row r="65" ht="54" customHeight="1">
      <x:c r="A65" s="78" t="n">
        <x:v>56</x:v>
      </x:c>
      <x:c r="B65" s="78" t="str">
        <x:v>WATCH</x:v>
      </x:c>
      <x:c r="C65" s="54" t="str">
        <x:v>Company careers/watchlist; NOT a vacancy</x:v>
      </x:c>
      <x:c r="D65" s="54" t="str">
        <x:v>CloudLinux / TuxCare</x:v>
      </x:c>
      <x:c r="E65" s="54" t="str">
        <x:v>WATCHLIST - Linux kernel patching and systems</x:v>
      </x:c>
      <x:c r="F65" s="54" t="str">
        <x:v>Company watchlist</x:v>
      </x:c>
      <x:c r="G65" s="54" t="str">
        <x:v>No currently verified Tunisia-remote position</x:v>
      </x:c>
      <x:c r="H65" s="54" t="str">
        <x:v>Monitor only</x:v>
      </x:c>
      <x:c r="I65" s="54" t="str">
        <x:v>Unknown</x:v>
      </x:c>
      <x:c r="J65" s="54" t="str">
        <x:v>Not stated</x:v>
      </x:c>
      <x:c r="K65" s="54" t="str">
        <x:v>English</x:v>
      </x:c>
      <x:c r="L65" s="55" t="n">
        <x:v>0.61</x:v>
      </x:c>
      <x:c r="M65" s="54" t="str">
        <x:v>No active position; cannot estimate</x:v>
      </x:c>
      <x:c r="N65" s="54" t="str">
        <x:v>Current kernel vacancies geo-restricted to LATAM; wait for worldwide/EMEA.</x:v>
      </x:c>
      <x:c r="O65" s="54" t="str">
        <x:v>Wait for a suitable remote opening</x:v>
      </x:c>
      <x:c r="P65" s="54" t="str">
        <x:v>Company/domain aligned with embedded, Linux, firmware or IoT.</x:v>
      </x:c>
      <x:c r="Q65" s="54" t="str">
        <x:v>No confirmed remote-from-Tunisia listing; do not apply to nonexistent job.</x:v>
      </x:c>
      <x:c r="R65" s="54" t="str">
        <x:v>Not disclosed</x:v>
      </x:c>
      <x:c r="S65" s="54"/>
      <x:c r="T65" s="54"/>
      <x:c r="U65" s="54" t="str"/>
      <x:c r="V65" s="54" t="str"/>
      <x:c r="W65" s="54" t="str">
        <x:v>Not disclosed</x:v>
      </x:c>
      <x:c r="X65" s="54"/>
      <x:c r="Y65" s="56" t="str">
        <x:f>IF(X65="","",(X65-$B$5)/$B$5)</x:f>
      </x:c>
      <x:c r="Z65" s="54" t="str">
        <x:v>Full-time</x:v>
      </x:c>
      <x:c r="AA65" s="54" t="str">
        <x:v>https://cloudlinux.com/about-us-company-jobs</x:v>
      </x:c>
      <x:c r="AB65" s="54" t="str"/>
      <x:c r="AC65" s="54" t="str">
        <x:v>Official employer</x:v>
      </x:c>
      <x:c r="AD65" s="54" t="str">
        <x:v>Not applied</x:v>
      </x:c>
      <x:c r="AE65" s="57"/>
      <x:c r="AF65" s="57"/>
      <x:c r="AG65" s="57" t="str">
        <x:v>Bookmark or set vacancy alert; verify new roles and country policy.</x:v>
      </x:c>
      <x:c r="AH65" s="57" t="n">
        <x:v>46315</x:v>
      </x:c>
    </x:row>
    <x:row r="66" ht="54" customHeight="1">
      <x:c r="A66" s="78" t="n">
        <x:v>57</x:v>
      </x:c>
      <x:c r="B66" s="78" t="str">
        <x:v>WATCH</x:v>
      </x:c>
      <x:c r="C66" s="54" t="str">
        <x:v>Company careers/watchlist; NOT a vacancy</x:v>
      </x:c>
      <x:c r="D66" s="54" t="str">
        <x:v>BairesDev</x:v>
      </x:c>
      <x:c r="E66" s="54" t="str">
        <x:v>WATCHLIST - Remote Zephyr / C / embedded apps</x:v>
      </x:c>
      <x:c r="F66" s="54" t="str">
        <x:v>Company watchlist</x:v>
      </x:c>
      <x:c r="G66" s="54" t="str">
        <x:v>No currently verified Tunisia-remote position</x:v>
      </x:c>
      <x:c r="H66" s="54" t="str">
        <x:v>Monitor only</x:v>
      </x:c>
      <x:c r="I66" s="54" t="str">
        <x:v>Unknown</x:v>
      </x:c>
      <x:c r="J66" s="54" t="str">
        <x:v>Not stated</x:v>
      </x:c>
      <x:c r="K66" s="54" t="str">
        <x:v>English</x:v>
      </x:c>
      <x:c r="L66" s="55" t="n">
        <x:v>0.58</x:v>
      </x:c>
      <x:c r="M66" s="54" t="str">
        <x:v>No active position; cannot estimate</x:v>
      </x:c>
      <x:c r="N66" s="54" t="str">
        <x:v>Current advertised Zephyr role only LATAM; track Africa/MENA postings.</x:v>
      </x:c>
      <x:c r="O66" s="54" t="str">
        <x:v>Wait for a suitable remote opening</x:v>
      </x:c>
      <x:c r="P66" s="54" t="str">
        <x:v>Company/domain aligned with embedded, Linux, firmware or IoT.</x:v>
      </x:c>
      <x:c r="Q66" s="54" t="str">
        <x:v>No confirmed remote-from-Tunisia listing; do not apply to nonexistent job.</x:v>
      </x:c>
      <x:c r="R66" s="54" t="str">
        <x:v>Not disclosed</x:v>
      </x:c>
      <x:c r="S66" s="54"/>
      <x:c r="T66" s="54"/>
      <x:c r="U66" s="54" t="str"/>
      <x:c r="V66" s="54" t="str"/>
      <x:c r="W66" s="54" t="str">
        <x:v>Not disclosed</x:v>
      </x:c>
      <x:c r="X66" s="54"/>
      <x:c r="Y66" s="56" t="str">
        <x:f>IF(X66="","",(X66-$B$5)/$B$5)</x:f>
      </x:c>
      <x:c r="Z66" s="54" t="str">
        <x:v>Full-time</x:v>
      </x:c>
      <x:c r="AA66" s="54" t="str">
        <x:v>https://www.linkedin.com/jobs/view/software-engineer-zephyr-rtos-remote-work-at-bairesdev-4466108656</x:v>
      </x:c>
      <x:c r="AB66" s="54" t="str"/>
      <x:c r="AC66" s="54" t="str">
        <x:v>Official employer</x:v>
      </x:c>
      <x:c r="AD66" s="54" t="str">
        <x:v>Not applied</x:v>
      </x:c>
      <x:c r="AE66" s="57"/>
      <x:c r="AF66" s="57"/>
      <x:c r="AG66" s="57" t="str">
        <x:v>Bookmark or set vacancy alert; verify new roles and country policy.</x:v>
      </x:c>
      <x:c r="AH66" s="57" t="n">
        <x:v>46315</x:v>
      </x:c>
    </x:row>
    <x:row r="67" ht="54" customHeight="1">
      <x:c r="A67" s="78" t="n">
        <x:v>58</x:v>
      </x:c>
      <x:c r="B67" s="78" t="str">
        <x:v>WATCH</x:v>
      </x:c>
      <x:c r="C67" s="54" t="str">
        <x:v>Company careers/watchlist; NOT a vacancy</x:v>
      </x:c>
      <x:c r="D67" s="54" t="str">
        <x:v>L4B Software</x:v>
      </x:c>
      <x:c r="E67" s="54" t="str">
        <x:v>WATCHLIST - Zephyr RTOS / BSP consulting</x:v>
      </x:c>
      <x:c r="F67" s="54" t="str">
        <x:v>Company watchlist</x:v>
      </x:c>
      <x:c r="G67" s="54" t="str">
        <x:v>No currently verified Tunisia-remote position</x:v>
      </x:c>
      <x:c r="H67" s="54" t="str">
        <x:v>Monitor only</x:v>
      </x:c>
      <x:c r="I67" s="54" t="str">
        <x:v>Unknown</x:v>
      </x:c>
      <x:c r="J67" s="54" t="str">
        <x:v>Not stated</x:v>
      </x:c>
      <x:c r="K67" s="54" t="str">
        <x:v>English</x:v>
      </x:c>
      <x:c r="L67" s="55" t="n">
        <x:v>0.58</x:v>
      </x:c>
      <x:c r="M67" s="54" t="str">
        <x:v>No active position; cannot estimate</x:v>
      </x:c>
      <x:c r="N67" s="54" t="str">
        <x:v>Existing role remote but India payroll only, no contractors; future Tunisia? unknown.</x:v>
      </x:c>
      <x:c r="O67" s="54" t="str">
        <x:v>Wait for a suitable remote opening</x:v>
      </x:c>
      <x:c r="P67" s="54" t="str">
        <x:v>Company/domain aligned with embedded, Linux, firmware or IoT.</x:v>
      </x:c>
      <x:c r="Q67" s="54" t="str">
        <x:v>No confirmed remote-from-Tunisia listing; do not apply to nonexistent job.</x:v>
      </x:c>
      <x:c r="R67" s="54" t="str">
        <x:v>Not disclosed</x:v>
      </x:c>
      <x:c r="S67" s="54"/>
      <x:c r="T67" s="54"/>
      <x:c r="U67" s="54" t="str"/>
      <x:c r="V67" s="54" t="str"/>
      <x:c r="W67" s="54" t="str">
        <x:v>Not disclosed</x:v>
      </x:c>
      <x:c r="X67" s="54"/>
      <x:c r="Y67" s="56" t="str">
        <x:f>IF(X67="","",(X67-$B$5)/$B$5)</x:f>
      </x:c>
      <x:c r="Z67" s="54" t="str">
        <x:v>Full-time</x:v>
      </x:c>
      <x:c r="AA67" s="54" t="str">
        <x:v>https://l4b-software.careers-page.com/jobs/56d89175-3a69-4f6e-a144-4a2ce9887474</x:v>
      </x:c>
      <x:c r="AB67" s="54" t="str"/>
      <x:c r="AC67" s="54" t="str">
        <x:v>Official employer</x:v>
      </x:c>
      <x:c r="AD67" s="54" t="str">
        <x:v>Not applied</x:v>
      </x:c>
      <x:c r="AE67" s="57"/>
      <x:c r="AF67" s="57"/>
      <x:c r="AG67" s="57" t="str">
        <x:v>Bookmark or set vacancy alert; verify new roles and country policy.</x:v>
      </x:c>
      <x:c r="AH67" s="57" t="n">
        <x:v>46315</x:v>
      </x:c>
    </x:row>
    <x:row r="68" ht="54" customHeight="1">
      <x:c r="A68" s="78" t="n">
        <x:v>59</x:v>
      </x:c>
      <x:c r="B68" s="78" t="str">
        <x:v>WATCH</x:v>
      </x:c>
      <x:c r="C68" s="54" t="str">
        <x:v>Company careers/watchlist; NOT a vacancy</x:v>
      </x:c>
      <x:c r="D68" s="54" t="str">
        <x:v>Tanitjobs</x:v>
      </x:c>
      <x:c r="E68" s="54" t="str">
        <x:v>WATCHLIST - Tunisia nearshore embedded / Linux remote</x:v>
      </x:c>
      <x:c r="F68" s="54" t="str">
        <x:v>Company watchlist</x:v>
      </x:c>
      <x:c r="G68" s="54" t="str">
        <x:v>No currently verified Tunisia-remote position</x:v>
      </x:c>
      <x:c r="H68" s="54" t="str">
        <x:v>Monitor only</x:v>
      </x:c>
      <x:c r="I68" s="54" t="str">
        <x:v>Unknown</x:v>
      </x:c>
      <x:c r="J68" s="54" t="str">
        <x:v>Not stated</x:v>
      </x:c>
      <x:c r="K68" s="54" t="str">
        <x:v>English</x:v>
      </x:c>
      <x:c r="L68" s="55" t="n">
        <x:v>0.56</x:v>
      </x:c>
      <x:c r="M68" s="54" t="str">
        <x:v>No active position; cannot estimate</x:v>
      </x:c>
      <x:c r="N68" s="54" t="str">
        <x:v>General job platform, not an active verified vacancy; search teletravail / embarqué.</x:v>
      </x:c>
      <x:c r="O68" s="54" t="str">
        <x:v>Wait for a suitable remote opening</x:v>
      </x:c>
      <x:c r="P68" s="54" t="str">
        <x:v>Company/domain aligned with embedded, Linux, firmware or IoT.</x:v>
      </x:c>
      <x:c r="Q68" s="54" t="str">
        <x:v>No confirmed remote-from-Tunisia listing; do not apply to nonexistent job.</x:v>
      </x:c>
      <x:c r="R68" s="54" t="str">
        <x:v>Not disclosed</x:v>
      </x:c>
      <x:c r="S68" s="54"/>
      <x:c r="T68" s="54"/>
      <x:c r="U68" s="54" t="str"/>
      <x:c r="V68" s="54" t="str"/>
      <x:c r="W68" s="54" t="str">
        <x:v>Not disclosed</x:v>
      </x:c>
      <x:c r="X68" s="54"/>
      <x:c r="Y68" s="56" t="str">
        <x:f>IF(X68="","",(X68-$B$5)/$B$5)</x:f>
      </x:c>
      <x:c r="Z68" s="54" t="str">
        <x:v>Full-time</x:v>
      </x:c>
      <x:c r="AA68" s="54" t="str">
        <x:v>https://www.tanitjobs.com/</x:v>
      </x:c>
      <x:c r="AB68" s="54" t="str"/>
      <x:c r="AC68" s="54" t="str">
        <x:v>Official employer</x:v>
      </x:c>
      <x:c r="AD68" s="54" t="str">
        <x:v>Not applied</x:v>
      </x:c>
      <x:c r="AE68" s="57"/>
      <x:c r="AF68" s="57"/>
      <x:c r="AG68" s="57" t="str">
        <x:v>Bookmark or set vacancy alert; verify new roles and country policy.</x:v>
      </x:c>
      <x:c r="AH68" s="57" t="n">
        <x:v>46315</x:v>
      </x:c>
    </x:row>
    <x:row r="69" ht="54" customHeight="1">
      <x:c r="A69" s="78" t="n">
        <x:v>60</x:v>
      </x:c>
      <x:c r="B69" s="78" t="str">
        <x:v>BLOCKED</x:v>
      </x:c>
      <x:c r="C69" s="54" t="str">
        <x:v>Employer job page verified</x:v>
      </x:c>
      <x:c r="D69" s="54" t="str">
        <x:v>Flock Safety</x:v>
      </x:c>
      <x:c r="E69" s="54" t="str">
        <x:v>Embedded Software Engineer II - Aviation</x:v>
      </x:c>
      <x:c r="F69" s="54" t="str">
        <x:v>Embedded Linux / Yocto</x:v>
      </x:c>
      <x:c r="G69" s="54" t="str">
        <x:v>Remote - USA only</x:v>
      </x:c>
      <x:c r="H69" s="54" t="str">
        <x:v>Blocked - US-only</x:v>
      </x:c>
      <x:c r="I69" s="54" t="str">
        <x:v>Mid</x:v>
      </x:c>
      <x:c r="J69" s="54" t="str">
        <x:v>Not stated</x:v>
      </x:c>
      <x:c r="K69" s="54" t="str">
        <x:v>English</x:v>
      </x:c>
      <x:c r="L69" s="55" t="n">
        <x:v>0.57</x:v>
      </x:c>
      <x:c r="M69" s="54" t="str">
        <x:v>Location restriction; do not apply from Tunisia</x:v>
      </x:c>
      <x:c r="N69" s="54" t="str">
        <x:v>Maintain Yocto distributions, embedded drone platform components.</x:v>
      </x:c>
      <x:c r="O69" s="54" t="str">
        <x:v>Yocto, robust embedded Linux, device reliability and integration.</x:v>
      </x:c>
      <x:c r="P69" s="54" t="str">
        <x:v>Yocto, embedded Linux, C and UART.</x:v>
      </x:c>
      <x:c r="Q69" s="54" t="str">
        <x:v>Drone production deployment and US-only residency.</x:v>
      </x:c>
      <x:c r="R69" s="54" t="str">
        <x:v>$115,000-$140,000 US only</x:v>
      </x:c>
      <x:c r="S69" s="54" t="n">
        <x:v>115000</x:v>
      </x:c>
      <x:c r="T69" s="54" t="n">
        <x:v>140000</x:v>
      </x:c>
      <x:c r="U69" s="54" t="str">
        <x:v>USD</x:v>
      </x:c>
      <x:c r="V69" s="54" t="str">
        <x:v>year</x:v>
      </x:c>
      <x:c r="W69" s="54" t="str">
        <x:v>Employer disclosed; US-only</x:v>
      </x:c>
      <x:c r="X69" s="54"/>
      <x:c r="Y69" s="56" t="str">
        <x:f>IF(X69="","",(X69-$B$5)/$B$5)</x:f>
      </x:c>
      <x:c r="Z69" s="54" t="str">
        <x:v>Full-time</x:v>
      </x:c>
      <x:c r="AA69" s="54" t="str">
        <x:v>https://jobs.ashbyhq.com/Flock%20Safety/4e304c43-4b67-4e69-a7fb-0446d5dbb39f</x:v>
      </x:c>
      <x:c r="AB69" s="54" t="str"/>
      <x:c r="AC69" s="54" t="str">
        <x:v>Official employer</x:v>
      </x:c>
      <x:c r="AD69" s="54" t="str">
        <x:v>Not applied</x:v>
      </x:c>
      <x:c r="AE69" s="57"/>
      <x:c r="AF69" s="57"/>
      <x:c r="AG69" s="57" t="str">
        <x:v>Open official URL, verify Tunisia hiring; tailor CV and apply.</x:v>
      </x:c>
      <x:c r="AH69" s="57" t="n">
        <x:v>46315</x:v>
      </x:c>
    </x:row>
    <x:row r="70" ht="54" customHeight="1">
      <x:c r="A70" s="78" t="n">
        <x:v>61</x:v>
      </x:c>
      <x:c r="B70" s="78" t="str">
        <x:v>BLOCKED</x:v>
      </x:c>
      <x:c r="C70" s="54" t="str">
        <x:v>Employer job page verified</x:v>
      </x:c>
      <x:c r="D70" s="54" t="str">
        <x:v>BairesDev</x:v>
      </x:c>
      <x:c r="E70" s="54" t="str">
        <x:v>Software Engineer - Zephyr RTOS</x:v>
      </x:c>
      <x:c r="F70" s="54" t="str">
        <x:v>Firmware / Zephyr / IoT</x:v>
      </x:c>
      <x:c r="G70" s="54" t="str">
        <x:v>100% remote but listing explicitly targets Latin America</x:v>
      </x:c>
      <x:c r="H70" s="54" t="str">
        <x:v>Blocked - LATAM-only listing</x:v>
      </x:c>
      <x:c r="I70" s="54" t="str">
        <x:v>Mid-Senior</x:v>
      </x:c>
      <x:c r="J70" s="54" t="str">
        <x:v>4+</x:v>
      </x:c>
      <x:c r="K70" s="54" t="str">
        <x:v>English</x:v>
      </x:c>
      <x:c r="L70" s="55" t="n">
        <x:v>0.55</x:v>
      </x:c>
      <x:c r="M70" s="54" t="str">
        <x:v>Location restriction; do not apply from Tunisia</x:v>
      </x:c>
      <x:c r="N70" s="54" t="str">
        <x:v>Build IoT software using Zephyr RTOS, devicetree and Kconfig.</x:v>
      </x:c>
      <x:c r="O70" s="54" t="str">
        <x:v>4+ years, Zephyr device-tree and drivers, English.</x:v>
      </x:c>
      <x:c r="P70" s="54" t="str">
        <x:v>STM32, C/C++, FreeRTOS, Zephyr exposure.</x:v>
      </x:c>
      <x:c r="Q70" s="54" t="str">
        <x:v>Professional Zephyr work and LATAM residency.</x:v>
      </x:c>
      <x:c r="R70" s="54" t="str">
        <x:v>Not disclosed</x:v>
      </x:c>
      <x:c r="S70" s="54"/>
      <x:c r="T70" s="54"/>
      <x:c r="U70" s="54" t="str"/>
      <x:c r="V70" s="54" t="str"/>
      <x:c r="W70" s="54" t="str">
        <x:v>Not disclosed</x:v>
      </x:c>
      <x:c r="X70" s="54"/>
      <x:c r="Y70" s="56" t="str">
        <x:f>IF(X70="","",(X70-$B$5)/$B$5)</x:f>
      </x:c>
      <x:c r="Z70" s="54" t="str">
        <x:v>Full-time</x:v>
      </x:c>
      <x:c r="AA70" s="54" t="str">
        <x:v>https://www.linkedin.com/jobs/view/software-engineer-zephyr-rtos-remote-work-at-bairesdev-4466108656</x:v>
      </x:c>
      <x:c r="AB70" s="54" t="str"/>
      <x:c r="AC70" s="54" t="str">
        <x:v>Third party platform (LinkedIn)</x:v>
      </x:c>
      <x:c r="AD70" s="54" t="str">
        <x:v>Not applied</x:v>
      </x:c>
      <x:c r="AE70" s="57"/>
      <x:c r="AF70" s="57"/>
      <x:c r="AG70" s="57" t="str">
        <x:v>Open official URL, verify Tunisia hiring; tailor CV and apply.</x:v>
      </x:c>
      <x:c r="AH70" s="57" t="n">
        <x:v>46315</x:v>
      </x:c>
    </x:row>
    <x:row r="71" ht="54" customHeight="1">
      <x:c r="A71" s="78" t="n">
        <x:v>62</x:v>
      </x:c>
      <x:c r="B71" s="78" t="str">
        <x:v>BLOCKED</x:v>
      </x:c>
      <x:c r="C71" s="54" t="str">
        <x:v>Employer job page verified</x:v>
      </x:c>
      <x:c r="D71" s="54" t="str">
        <x:v>CACI</x:v>
      </x:c>
      <x:c r="E71" s="54" t="str">
        <x:v>Embedded Linux Engineer</x:v>
      </x:c>
      <x:c r="F71" s="54" t="str">
        <x:v>Embedded Linux / systems</x:v>
      </x:c>
      <x:c r="G71" s="54" t="str">
        <x:v>US defense company; continental-US travel noted</x:v>
      </x:c>
      <x:c r="H71" s="54" t="str">
        <x:v>Blocked/likely US-only - cannot confirm Tunisia</x:v>
      </x:c>
      <x:c r="I71" s="54" t="str">
        <x:v>Unspecified</x:v>
      </x:c>
      <x:c r="J71" s="54" t="str">
        <x:v>Not stated</x:v>
      </x:c>
      <x:c r="K71" s="54" t="str">
        <x:v>English</x:v>
      </x:c>
      <x:c r="L71" s="55" t="n">
        <x:v>0.51</x:v>
      </x:c>
      <x:c r="M71" s="54" t="str">
        <x:v>Location restriction; do not apply from Tunisia</x:v>
      </x:c>
      <x:c r="N71" s="54" t="str">
        <x:v>Embedded Linux image creation, cross-compilation and deployment.</x:v>
      </x:c>
      <x:c r="O71" s="54" t="str">
        <x:v>Linux embedded systems; US travel.</x:v>
      </x:c>
      <x:c r="P71" s="54" t="str">
        <x:v>Yocto, cross toolchains.</x:v>
      </x:c>
      <x:c r="Q71" s="54" t="str">
        <x:v>US legal/citizenship rules may apply.</x:v>
      </x:c>
      <x:c r="R71" s="54" t="str">
        <x:v>$82,100-$172,400 yearly (Indeed listing)</x:v>
      </x:c>
      <x:c r="S71" s="54" t="n">
        <x:v>82100</x:v>
      </x:c>
      <x:c r="T71" s="54" t="n">
        <x:v>172400</x:v>
      </x:c>
      <x:c r="U71" s="54" t="str">
        <x:v>USD</x:v>
      </x:c>
      <x:c r="V71" s="54" t="str">
        <x:v>year</x:v>
      </x:c>
      <x:c r="W71" s="54" t="str">
        <x:v>Third-party advertised; US context</x:v>
      </x:c>
      <x:c r="X71" s="54"/>
      <x:c r="Y71" s="56" t="str">
        <x:f>IF(X71="","",(X71-$B$5)/$B$5)</x:f>
      </x:c>
      <x:c r="Z71" s="54" t="str">
        <x:v>Full-time</x:v>
      </x:c>
      <x:c r="AA71" s="54" t="str">
        <x:v>https://www.indeed.com/q-remote-embedded-firmware-l-worldwide%2C-anywhere-jobs.html</x:v>
      </x:c>
      <x:c r="AB71" s="54" t="str"/>
      <x:c r="AC71" s="54" t="str">
        <x:v>Indeed aggregator / no direct employer application</x:v>
      </x:c>
      <x:c r="AD71" s="54" t="str">
        <x:v>Not applied</x:v>
      </x:c>
      <x:c r="AE71" s="57"/>
      <x:c r="AF71" s="57"/>
      <x:c r="AG71" s="57" t="str">
        <x:v>Open official URL, verify Tunisia hiring; tailor CV and apply.</x:v>
      </x:c>
      <x:c r="AH71" s="57" t="n">
        <x:v>46315</x:v>
      </x:c>
    </x:row>
    <x:row r="72" ht="54" customHeight="1">
      <x:c r="A72" s="78" t="n">
        <x:v>63</x:v>
      </x:c>
      <x:c r="B72" s="78" t="str">
        <x:v>BLOCKED</x:v>
      </x:c>
      <x:c r="C72" s="54" t="str">
        <x:v>Employer job page verified</x:v>
      </x:c>
      <x:c r="D72" s="54" t="str">
        <x:v>L4B Software</x:v>
      </x:c>
      <x:c r="E72" s="54" t="str">
        <x:v>Senior Zephyr RTOS / Embedded Systems Engineer</x:v>
      </x:c>
      <x:c r="F72" s="54" t="str">
        <x:v>Firmware / Zephyr</x:v>
      </x:c>
      <x:c r="G72" s="54" t="str">
        <x:v>Remote position expressly located Pune, India; full-time employee, no B2B</x:v>
      </x:c>
      <x:c r="H72" s="54" t="str">
        <x:v>Blocked - country-specific India</x:v>
      </x:c>
      <x:c r="I72" s="54" t="str">
        <x:v>Senior</x:v>
      </x:c>
      <x:c r="J72" s="54" t="str">
        <x:v>Not stated</x:v>
      </x:c>
      <x:c r="K72" s="54" t="str">
        <x:v>English</x:v>
      </x:c>
      <x:c r="L72" s="55" t="n">
        <x:v>0.47</x:v>
      </x:c>
      <x:c r="M72" s="54" t="str">
        <x:v>Location restriction; do not apply from Tunisia</x:v>
      </x:c>
      <x:c r="N72" s="54" t="str">
        <x:v>Build Zephyr BSP, drivers, interrupts and device trees.</x:v>
      </x:c>
      <x:c r="O72" s="54" t="str">
        <x:v>Deep Zephyr internals; local full-time payroll.</x:v>
      </x:c>
      <x:c r="P72" s="54" t="str">
        <x:v>FreeRTOS/STM32 and low-level debugging.</x:v>
      </x:c>
      <x:c r="Q72" s="54" t="str">
        <x:v>Zephyr upstream and India-only employment route.</x:v>
      </x:c>
      <x:c r="R72" s="54" t="str">
        <x:v>Not disclosed</x:v>
      </x:c>
      <x:c r="S72" s="54"/>
      <x:c r="T72" s="54"/>
      <x:c r="U72" s="54" t="str"/>
      <x:c r="V72" s="54" t="str"/>
      <x:c r="W72" s="54" t="str">
        <x:v>Not disclosed</x:v>
      </x:c>
      <x:c r="X72" s="54"/>
      <x:c r="Y72" s="56" t="str">
        <x:f>IF(X72="","",(X72-$B$5)/$B$5)</x:f>
      </x:c>
      <x:c r="Z72" s="54" t="str">
        <x:v>Full-time</x:v>
      </x:c>
      <x:c r="AA72" s="54" t="str">
        <x:v>https://l4b-software.careers-page.com/jobs/56d89175-3a69-4f6e-a144-4a2ce9887474</x:v>
      </x:c>
      <x:c r="AB72" s="54" t="str"/>
      <x:c r="AC72" s="54" t="str">
        <x:v>Official employer</x:v>
      </x:c>
      <x:c r="AD72" s="54" t="str">
        <x:v>Not applied</x:v>
      </x:c>
      <x:c r="AE72" s="57"/>
      <x:c r="AF72" s="57"/>
      <x:c r="AG72" s="57" t="str">
        <x:v>Open official URL, verify Tunisia hiring; tailor CV and apply.</x:v>
      </x:c>
      <x:c r="AH72" s="57" t="n">
        <x:v>46315</x:v>
      </x:c>
    </x:row>
    <x:row r="73" ht="54" customHeight="1">
      <x:c r="A73" s="78" t="n">
        <x:v>64</x:v>
      </x:c>
      <x:c r="B73" s="78" t="str">
        <x:v>BLOCKED</x:v>
      </x:c>
      <x:c r="C73" s="54" t="str">
        <x:v>Employer job page verified</x:v>
      </x:c>
      <x:c r="D73" s="54" t="str">
        <x:v>Flock Safety</x:v>
      </x:c>
      <x:c r="E73" s="54" t="str">
        <x:v>Embedded Software Engineer III - Kernel</x:v>
      </x:c>
      <x:c r="F73" s="54" t="str">
        <x:v>Linux kernel / embedded</x:v>
      </x:c>
      <x:c r="G73" s="54" t="str">
        <x:v>Remote - USA only</x:v>
      </x:c>
      <x:c r="H73" s="54" t="str">
        <x:v>Blocked - US-only</x:v>
      </x:c>
      <x:c r="I73" s="54" t="str">
        <x:v>Senior / Engineer III</x:v>
      </x:c>
      <x:c r="J73" s="54" t="str">
        <x:v>Not stated</x:v>
      </x:c>
      <x:c r="K73" s="54" t="str">
        <x:v>English</x:v>
      </x:c>
      <x:c r="L73" s="55" t="n">
        <x:v>0.42</x:v>
      </x:c>
      <x:c r="M73" s="54" t="str">
        <x:v>Location restriction; do not apply from Tunisia</x:v>
      </x:c>
      <x:c r="N73" s="54" t="str">
        <x:v>Driver/OS bring-up for drones and ground control hardware.</x:v>
      </x:c>
      <x:c r="O73" s="54" t="str">
        <x:v>Kernel development, device drivers and debugging.</x:v>
      </x:c>
      <x:c r="P73" s="54" t="str">
        <x:v>C/Yocto/hardware measurement.</x:v>
      </x:c>
      <x:c r="Q73" s="54" t="str">
        <x:v>Advanced Linux kernel plus country.</x:v>
      </x:c>
      <x:c r="R73" s="54" t="str">
        <x:v>$130,000-$160,000 US only</x:v>
      </x:c>
      <x:c r="S73" s="54" t="n">
        <x:v>130000</x:v>
      </x:c>
      <x:c r="T73" s="54" t="n">
        <x:v>160000</x:v>
      </x:c>
      <x:c r="U73" s="54" t="str">
        <x:v>USD</x:v>
      </x:c>
      <x:c r="V73" s="54" t="str">
        <x:v>year</x:v>
      </x:c>
      <x:c r="W73" s="54" t="str">
        <x:v>Employer disclosed; US-only</x:v>
      </x:c>
      <x:c r="X73" s="54"/>
      <x:c r="Y73" s="56" t="str">
        <x:f>IF(X73="","",(X73-$B$5)/$B$5)</x:f>
      </x:c>
      <x:c r="Z73" s="54" t="str">
        <x:v>Full-time</x:v>
      </x:c>
      <x:c r="AA73" s="54" t="str">
        <x:v>https://jobs.ashbyhq.com/Flock%20Safety/0b6a4ac0-8bbb-4e14-9a62-cebe373cc445</x:v>
      </x:c>
      <x:c r="AB73" s="54" t="str"/>
      <x:c r="AC73" s="54" t="str">
        <x:v>Official employer</x:v>
      </x:c>
      <x:c r="AD73" s="54" t="str">
        <x:v>Not applied</x:v>
      </x:c>
      <x:c r="AE73" s="57"/>
      <x:c r="AF73" s="57"/>
      <x:c r="AG73" s="57" t="str">
        <x:v>Open official URL, verify Tunisia hiring; tailor CV and apply.</x:v>
      </x:c>
      <x:c r="AH73" s="57" t="n">
        <x:v>46315</x:v>
      </x:c>
    </x:row>
    <x:row r="74" ht="54" customHeight="1">
      <x:c r="A74" s="78" t="n">
        <x:v>65</x:v>
      </x:c>
      <x:c r="B74" s="78" t="str">
        <x:v>BLOCKED</x:v>
      </x:c>
      <x:c r="C74" s="54" t="str">
        <x:v>Employer job page verified</x:v>
      </x:c>
      <x:c r="D74" s="54" t="str">
        <x:v>CloudLinux/TuxCare</x:v>
      </x:c>
      <x:c r="E74" s="54" t="str">
        <x:v>Kernel Developer - LATAM</x:v>
      </x:c>
      <x:c r="F74" s="54" t="str">
        <x:v>Linux kernel / security</x:v>
      </x:c>
      <x:c r="G74" s="54" t="str">
        <x:v>Remote explicitly LATAM only</x:v>
      </x:c>
      <x:c r="H74" s="54" t="str">
        <x:v>Blocked - LATAM-only listing</x:v>
      </x:c>
      <x:c r="I74" s="54" t="str">
        <x:v>Senior</x:v>
      </x:c>
      <x:c r="J74" s="54" t="str">
        <x:v>Not stated</x:v>
      </x:c>
      <x:c r="K74" s="54" t="str">
        <x:v>English</x:v>
      </x:c>
      <x:c r="L74" s="55" t="n">
        <x:v>0.41</x:v>
      </x:c>
      <x:c r="M74" s="54" t="str">
        <x:v>Location restriction; do not apply from Tunisia</x:v>
      </x:c>
      <x:c r="N74" s="54" t="str">
        <x:v>Kernel security maintenance and patch backporting.</x:v>
      </x:c>
      <x:c r="O74" s="54" t="str">
        <x:v>Linux kernel C, backporting, senior coding.</x:v>
      </x:c>
      <x:c r="P74" s="54" t="str">
        <x:v>C, debugging, Linux curiosity.</x:v>
      </x:c>
      <x:c r="Q74" s="54" t="str">
        <x:v>Kernel maintenance and regional residency.</x:v>
      </x:c>
      <x:c r="R74" s="54" t="str">
        <x:v>Not disclosed</x:v>
      </x:c>
      <x:c r="S74" s="54"/>
      <x:c r="T74" s="54"/>
      <x:c r="U74" s="54" t="str"/>
      <x:c r="V74" s="54" t="str"/>
      <x:c r="W74" s="54" t="str">
        <x:v>Not disclosed</x:v>
      </x:c>
      <x:c r="X74" s="54"/>
      <x:c r="Y74" s="56" t="str">
        <x:f>IF(X74="","",(X74-$B$5)/$B$5)</x:f>
      </x:c>
      <x:c r="Z74" s="54" t="str">
        <x:v>Full-time</x:v>
      </x:c>
      <x:c r="AA74" s="54" t="str">
        <x:v>https://cloudlinux.com/about-us-company-jobs</x:v>
      </x:c>
      <x:c r="AB74" s="54" t="str"/>
      <x:c r="AC74" s="54" t="str">
        <x:v>Official employer</x:v>
      </x:c>
      <x:c r="AD74" s="54" t="str">
        <x:v>Not applied</x:v>
      </x:c>
      <x:c r="AE74" s="57"/>
      <x:c r="AF74" s="57"/>
      <x:c r="AG74" s="57" t="str">
        <x:v>Open official URL, verify Tunisia hiring; tailor CV and apply.</x:v>
      </x:c>
      <x:c r="AH74" s="57" t="n">
        <x:v>46315</x:v>
      </x:c>
    </x:row>
    <x:row r="75" ht="54" customHeight="1">
      <x:c r="A75" s="78" t="n">
        <x:v>66</x:v>
      </x:c>
      <x:c r="B75" s="78" t="str">
        <x:v>BLOCKED</x:v>
      </x:c>
      <x:c r="C75" s="54" t="str">
        <x:v>Employer job page verified</x:v>
      </x:c>
      <x:c r="D75" s="54" t="str">
        <x:v>Flock Safety</x:v>
      </x:c>
      <x:c r="E75" s="54" t="str">
        <x:v>Senior Embedded Software Engineer - Kernel</x:v>
      </x:c>
      <x:c r="F75" s="54" t="str">
        <x:v>Linux kernel / embedded</x:v>
      </x:c>
      <x:c r="G75" s="54" t="str">
        <x:v>Remote - USA only</x:v>
      </x:c>
      <x:c r="H75" s="54" t="str">
        <x:v>Blocked - US-only</x:v>
      </x:c>
      <x:c r="I75" s="54" t="str">
        <x:v>Senior</x:v>
      </x:c>
      <x:c r="J75" s="54" t="str">
        <x:v>Not stated</x:v>
      </x:c>
      <x:c r="K75" s="54" t="str">
        <x:v>English</x:v>
      </x:c>
      <x:c r="L75" s="55" t="n">
        <x:v>0.33</x:v>
      </x:c>
      <x:c r="M75" s="54" t="str">
        <x:v>Location restriction; do not apply from Tunisia</x:v>
      </x:c>
      <x:c r="N75" s="54" t="str">
        <x:v>Senior OS kernel development and integration for devices.</x:v>
      </x:c>
      <x:c r="O75" s="54" t="str">
        <x:v>Demonstrated Linux upstream/driver ownership.</x:v>
      </x:c>
      <x:c r="P75" s="54" t="str">
        <x:v>Embedded foundation.</x:v>
      </x:c>
      <x:c r="Q75" s="54" t="str">
        <x:v>Seniority and location.</x:v>
      </x:c>
      <x:c r="R75" s="54" t="str">
        <x:v>$172,000-$190,000 US only</x:v>
      </x:c>
      <x:c r="S75" s="54" t="n">
        <x:v>172000</x:v>
      </x:c>
      <x:c r="T75" s="54" t="n">
        <x:v>190000</x:v>
      </x:c>
      <x:c r="U75" s="54" t="str">
        <x:v>USD</x:v>
      </x:c>
      <x:c r="V75" s="54" t="str">
        <x:v>year</x:v>
      </x:c>
      <x:c r="W75" s="54" t="str">
        <x:v>Employer disclosed; US-only</x:v>
      </x:c>
      <x:c r="X75" s="54"/>
      <x:c r="Y75" s="56" t="str">
        <x:f>IF(X75="","",(X75-$B$5)/$B$5)</x:f>
      </x:c>
      <x:c r="Z75" s="54" t="str">
        <x:v>Full-time</x:v>
      </x:c>
      <x:c r="AA75" s="54" t="str">
        <x:v>https://jobs.ashbyhq.com/flock%20safety/12fc9d1a-317b-4694-ab39-0ca403711801</x:v>
      </x:c>
      <x:c r="AB75" s="54" t="str"/>
      <x:c r="AC75" s="54" t="str">
        <x:v>Official employer</x:v>
      </x:c>
      <x:c r="AD75" s="54" t="str">
        <x:v>Not applied</x:v>
      </x:c>
      <x:c r="AE75" s="57"/>
      <x:c r="AF75" s="57"/>
      <x:c r="AG75" s="57" t="str">
        <x:v>Open official URL, verify Tunisia hiring; tailor CV and apply.</x:v>
      </x:c>
      <x:c r="AH75" s="57" t="n">
        <x:v>46315</x:v>
      </x:c>
    </x:row>
  </x:sheetData>
  <x:mergeCells>
    <x:mergeCell ref="A1:AH1"/>
    <x:mergeCell ref="A2:AH2"/>
    <x:mergeCell ref="A3:AH3"/>
    <x:mergeCell ref="A7:AH7"/>
    <x:mergeCell ref="A8:AH8"/>
  </x:mergeCells>
  <x:conditionalFormatting sqref="L10:L75">
    <x:cfRule type="colorScale" priority="1">
      <x:colorScale>
        <x:cfvo type="min"/>
        <x:cfvo type="percentile" val="50"/>
        <x:cfvo type="max"/>
        <x:color rgb="FFFEE2E2"/>
        <x:color rgb="FFFEF3C7"/>
        <x:color rgb="FFCDEFE5"/>
      </x:colorScale>
    </x:cfRule>
  </x:conditionalFormatting>
  <x:conditionalFormatting sqref="Y10:Y75">
    <x:cfRule type="dataBar" priority="2">
      <x:dataBar>
        <x:cfvo type="min"/>
        <x:cfvo type="max"/>
        <x:color rgb="FF1D7780"/>
      </x:dataBar>
      <x:extLst>
        <x:ext xmlns:x14="http://schemas.microsoft.com/office/spreadsheetml/2009/9/main" uri="{B025F937-C7B1-47D3-B67F-A62EFF666E3E}">
          <x14:id>{AE674875-F3DF-018C-B41D-86E35D7606AB}</x14:id>
        </x:ext>
      </x:extLst>
    </x:cfRule>
  </x:conditionalFormatting>
  <x:conditionalFormatting sqref="B10:B75">
    <x:cfRule type="expression" dxfId="0" priority="3">
      <x:formula>B10="P1 APPLY"</x:formula>
    </x:cfRule>
    <x:cfRule type="expression" dxfId="1" priority="4">
      <x:formula>B10="P2 TARGET"</x:formula>
    </x:cfRule>
    <x:cfRule type="expression" dxfId="2" priority="5">
      <x:formula>B10="BLOCKED"</x:formula>
    </x:cfRule>
    <x:cfRule type="expression" dxfId="3" priority="6">
      <x:formula>B10="WATCH"</x:formula>
    </x:cfRule>
    <x:cfRule type="expression" dxfId="4" priority="7">
      <x:formula>B10="VERIFY"</x:formula>
    </x:cfRule>
  </x:conditionalFormatting>
  <x:dataValidations count="1">
    <x:dataValidation type="list" sqref="AD10:AD75">
      <x:formula1>"Not applied,Planning,Applied,Recruiter replied,Screening,Interview,Technical test,Offer,Rejected,Closed"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edc36657f02443c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AE674875-F3DF-018C-B41D-86E35D7606AB}">
            <x14:dataBar gradient="1">
              <x14:cfvo type="min"/>
              <x14:cfvo type="max"/>
              <x14:fillColor rgb="FF1D7780"/>
            </x14:dataBar>
          </x14:cfRule>
          <xm:sqref>Y10:Y75</xm:sqref>
        </x14:conditionalFormatting>
      </x14:conditionalFormattings>
    </x:ext>
  </x:extLst>
</x:worksheet>
</file>